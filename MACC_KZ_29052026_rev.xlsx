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Органы власти\МЭПР\Проекты для ОНУВ 3.0 2025\MACC Казахстан\"/>
    </mc:Choice>
  </mc:AlternateContent>
  <bookViews>
    <workbookView xWindow="0" yWindow="0" windowWidth="16380" windowHeight="8190" tabRatio="500" activeTab="2"/>
  </bookViews>
  <sheets>
    <sheet name="MACC" sheetId="1" r:id="rId1"/>
    <sheet name="Выбросы" sheetId="2" r:id="rId2"/>
    <sheet name="Расчёты" sheetId="3" r:id="rId3"/>
  </sheets>
  <definedNames>
    <definedName name="_xlnm._FilterDatabase" localSheetId="0" hidden="1">MACC!$A$5:$K$32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84" i="3" l="1"/>
  <c r="C578" i="3" s="1"/>
  <c r="C586" i="3" s="1"/>
  <c r="C600" i="3"/>
  <c r="C610" i="3" s="1"/>
  <c r="C625" i="3" s="1"/>
  <c r="H18" i="1" s="1"/>
  <c r="C736" i="3"/>
  <c r="C729" i="3"/>
  <c r="C775" i="3"/>
  <c r="G28" i="1" s="1"/>
  <c r="C769" i="3"/>
  <c r="C761" i="3"/>
  <c r="C762" i="3" s="1"/>
  <c r="C776" i="3" s="1"/>
  <c r="H28" i="1" s="1"/>
  <c r="C756" i="3"/>
  <c r="C764" i="3" s="1"/>
  <c r="C752" i="3"/>
  <c r="C747" i="3"/>
  <c r="G12" i="1" s="1"/>
  <c r="C742" i="3"/>
  <c r="C738" i="3"/>
  <c r="C739" i="3" s="1"/>
  <c r="C724" i="3"/>
  <c r="G17" i="1" s="1"/>
  <c r="C714" i="3"/>
  <c r="C715" i="3" s="1"/>
  <c r="C708" i="3" s="1"/>
  <c r="C712" i="3" s="1"/>
  <c r="C711" i="3"/>
  <c r="C725" i="3" s="1"/>
  <c r="H17" i="1" s="1"/>
  <c r="C706" i="3"/>
  <c r="C701" i="3"/>
  <c r="C696" i="3"/>
  <c r="G7" i="1" s="1"/>
  <c r="C691" i="3"/>
  <c r="C686" i="3"/>
  <c r="C687" i="3" s="1"/>
  <c r="C688" i="3" s="1"/>
  <c r="C684" i="3"/>
  <c r="C697" i="3" s="1"/>
  <c r="H7" i="1" s="1"/>
  <c r="C672" i="3"/>
  <c r="C667" i="3"/>
  <c r="C663" i="3"/>
  <c r="C662" i="3"/>
  <c r="C664" i="3" s="1"/>
  <c r="C660" i="3"/>
  <c r="C673" i="3" s="1"/>
  <c r="H6" i="1" s="1"/>
  <c r="C648" i="3"/>
  <c r="G11" i="1" s="1"/>
  <c r="C643" i="3"/>
  <c r="C638" i="3"/>
  <c r="C636" i="3"/>
  <c r="C649" i="3" s="1"/>
  <c r="H11" i="1" s="1"/>
  <c r="C624" i="3"/>
  <c r="G18" i="1" s="1"/>
  <c r="C611" i="3"/>
  <c r="C595" i="3"/>
  <c r="G25" i="1" s="1"/>
  <c r="C580" i="3"/>
  <c r="C576" i="3"/>
  <c r="C571" i="3"/>
  <c r="G20" i="1" s="1"/>
  <c r="C566" i="3"/>
  <c r="C565" i="3"/>
  <c r="C562" i="3"/>
  <c r="C563" i="3" s="1"/>
  <c r="C569" i="3" s="1"/>
  <c r="E20" i="1" s="1"/>
  <c r="C551" i="3"/>
  <c r="C560" i="3" s="1"/>
  <c r="C572" i="3" s="1"/>
  <c r="H20" i="1" s="1"/>
  <c r="C546" i="3"/>
  <c r="G23" i="1" s="1"/>
  <c r="C537" i="3"/>
  <c r="C536" i="3"/>
  <c r="C538" i="3" s="1"/>
  <c r="C544" i="3" s="1"/>
  <c r="E23" i="1" s="1"/>
  <c r="C530" i="3"/>
  <c r="C525" i="3"/>
  <c r="C533" i="3" s="1"/>
  <c r="C520" i="3"/>
  <c r="G14" i="1" s="1"/>
  <c r="C511" i="3"/>
  <c r="C512" i="3" s="1"/>
  <c r="C508" i="3"/>
  <c r="C509" i="3" s="1"/>
  <c r="C504" i="3" s="1"/>
  <c r="C515" i="3" s="1"/>
  <c r="C501" i="3"/>
  <c r="C496" i="3"/>
  <c r="G8" i="1" s="1"/>
  <c r="C486" i="3"/>
  <c r="C484" i="3"/>
  <c r="C491" i="3" s="1"/>
  <c r="C483" i="3"/>
  <c r="C497" i="3" s="1"/>
  <c r="H8" i="1" s="1"/>
  <c r="C476" i="3"/>
  <c r="C471" i="3"/>
  <c r="G10" i="1" s="1"/>
  <c r="C466" i="3"/>
  <c r="C465" i="3"/>
  <c r="C462" i="3"/>
  <c r="C461" i="3"/>
  <c r="C459" i="3"/>
  <c r="C472" i="3" s="1"/>
  <c r="H10" i="1" s="1"/>
  <c r="C450" i="3"/>
  <c r="C445" i="3"/>
  <c r="G22" i="1" s="1"/>
  <c r="C427" i="3"/>
  <c r="C423" i="3"/>
  <c r="C420" i="3"/>
  <c r="C419" i="3"/>
  <c r="C414" i="3"/>
  <c r="C411" i="3"/>
  <c r="C406" i="3"/>
  <c r="G26" i="1" s="1"/>
  <c r="C396" i="3"/>
  <c r="C395" i="3"/>
  <c r="C392" i="3"/>
  <c r="C400" i="3" s="1"/>
  <c r="C391" i="3"/>
  <c r="C407" i="3" s="1"/>
  <c r="H26" i="1" s="1"/>
  <c r="C387" i="3"/>
  <c r="C386" i="3"/>
  <c r="C380" i="3"/>
  <c r="C375" i="3"/>
  <c r="G13" i="1" s="1"/>
  <c r="C357" i="3"/>
  <c r="C356" i="3"/>
  <c r="M355" i="3"/>
  <c r="C345" i="3" s="1"/>
  <c r="C348" i="3" s="1"/>
  <c r="J355" i="3"/>
  <c r="C354" i="3" s="1"/>
  <c r="C355" i="3"/>
  <c r="C352" i="3"/>
  <c r="C344" i="3"/>
  <c r="C342" i="3"/>
  <c r="C337" i="3"/>
  <c r="G30" i="1" s="1"/>
  <c r="C321" i="3"/>
  <c r="C311" i="3"/>
  <c r="C309" i="3"/>
  <c r="C304" i="3"/>
  <c r="G19" i="1" s="1"/>
  <c r="C289" i="3"/>
  <c r="C288" i="3"/>
  <c r="C285" i="3"/>
  <c r="C294" i="3" s="1"/>
  <c r="C296" i="3" s="1"/>
  <c r="C302" i="3" s="1"/>
  <c r="E19" i="1" s="1"/>
  <c r="C284" i="3"/>
  <c r="C279" i="3"/>
  <c r="G24" i="1" s="1"/>
  <c r="C258" i="3"/>
  <c r="C257" i="3"/>
  <c r="C256" i="3"/>
  <c r="C254" i="3"/>
  <c r="C251" i="3"/>
  <c r="C249" i="3"/>
  <c r="C265" i="3" s="1"/>
  <c r="C268" i="3" s="1"/>
  <c r="C247" i="3"/>
  <c r="C242" i="3"/>
  <c r="G16" i="1" s="1"/>
  <c r="C222" i="3"/>
  <c r="C219" i="3"/>
  <c r="C218" i="3"/>
  <c r="C216" i="3"/>
  <c r="C214" i="3"/>
  <c r="C212" i="3"/>
  <c r="C225" i="3" s="1"/>
  <c r="C209" i="3"/>
  <c r="C204" i="3"/>
  <c r="G27" i="1" s="1"/>
  <c r="C192" i="3"/>
  <c r="C198" i="3" s="1"/>
  <c r="G191" i="3"/>
  <c r="C187" i="3"/>
  <c r="C186" i="3"/>
  <c r="C181" i="3"/>
  <c r="C194" i="3" s="1"/>
  <c r="C195" i="3" s="1"/>
  <c r="C202" i="3" s="1"/>
  <c r="E27" i="1" s="1"/>
  <c r="C179" i="3"/>
  <c r="C174" i="3"/>
  <c r="G21" i="1" s="1"/>
  <c r="C167" i="3"/>
  <c r="C162" i="3"/>
  <c r="H158" i="3"/>
  <c r="C144" i="3" s="1"/>
  <c r="C163" i="3" s="1"/>
  <c r="G158" i="3"/>
  <c r="C157" i="3"/>
  <c r="C151" i="3"/>
  <c r="C150" i="3"/>
  <c r="C149" i="3"/>
  <c r="C142" i="3"/>
  <c r="C140" i="3"/>
  <c r="C95" i="3" s="1"/>
  <c r="C137" i="3"/>
  <c r="C132" i="3"/>
  <c r="G9" i="1" s="1"/>
  <c r="C125" i="3"/>
  <c r="H115" i="3"/>
  <c r="C100" i="3" s="1"/>
  <c r="C121" i="3" s="1"/>
  <c r="G115" i="3"/>
  <c r="C114" i="3"/>
  <c r="C108" i="3"/>
  <c r="C107" i="3"/>
  <c r="C106" i="3"/>
  <c r="C97" i="3"/>
  <c r="C92" i="3"/>
  <c r="C87" i="3"/>
  <c r="G15" i="1" s="1"/>
  <c r="C76" i="3"/>
  <c r="C70" i="3"/>
  <c r="C69" i="3"/>
  <c r="C66" i="3"/>
  <c r="C65" i="3"/>
  <c r="C63" i="3"/>
  <c r="C139" i="3" s="1"/>
  <c r="C94" i="3" s="1"/>
  <c r="C61" i="3"/>
  <c r="C56" i="3"/>
  <c r="G29" i="1" s="1"/>
  <c r="E50" i="3"/>
  <c r="C50" i="3" s="1"/>
  <c r="C49" i="3"/>
  <c r="C38" i="3"/>
  <c r="C37" i="3"/>
  <c r="C36" i="3"/>
  <c r="C35" i="3"/>
  <c r="C33" i="3"/>
  <c r="C45" i="3" s="1"/>
  <c r="C46" i="3" s="1"/>
  <c r="C31" i="3"/>
  <c r="C26" i="3"/>
  <c r="G31" i="1" s="1"/>
  <c r="C16" i="3"/>
  <c r="C10" i="3"/>
  <c r="C9" i="3"/>
  <c r="C7" i="3"/>
  <c r="C5" i="3"/>
  <c r="C13" i="3" s="1"/>
  <c r="C27" i="3" s="1"/>
  <c r="H31" i="1" s="1"/>
  <c r="C4" i="3"/>
  <c r="G6" i="1"/>
  <c r="C3" i="1"/>
  <c r="C467" i="3" l="1"/>
  <c r="C470" i="3" s="1"/>
  <c r="F10" i="1" s="1"/>
  <c r="C748" i="3"/>
  <c r="H12" i="1" s="1"/>
  <c r="J12" i="1" s="1"/>
  <c r="J18" i="1"/>
  <c r="C567" i="3"/>
  <c r="C570" i="3" s="1"/>
  <c r="F20" i="1" s="1"/>
  <c r="I20" i="1" s="1"/>
  <c r="C463" i="3"/>
  <c r="C469" i="3" s="1"/>
  <c r="E10" i="1" s="1"/>
  <c r="C298" i="3"/>
  <c r="J26" i="1"/>
  <c r="C364" i="3"/>
  <c r="J28" i="1"/>
  <c r="C73" i="3"/>
  <c r="C81" i="3" s="1"/>
  <c r="J11" i="1"/>
  <c r="J10" i="1"/>
  <c r="C690" i="3"/>
  <c r="C692" i="3" s="1"/>
  <c r="C695" i="3" s="1"/>
  <c r="F7" i="1" s="1"/>
  <c r="C694" i="3"/>
  <c r="E7" i="1" s="1"/>
  <c r="J31" i="1"/>
  <c r="C521" i="3"/>
  <c r="H14" i="1" s="1"/>
  <c r="J14" i="1" s="1"/>
  <c r="C716" i="3"/>
  <c r="C47" i="3"/>
  <c r="C54" i="3" s="1"/>
  <c r="E29" i="1" s="1"/>
  <c r="J17" i="1"/>
  <c r="J6" i="1"/>
  <c r="J7" i="1"/>
  <c r="C397" i="3"/>
  <c r="C399" i="3" s="1"/>
  <c r="C766" i="3"/>
  <c r="C767" i="3" s="1"/>
  <c r="C197" i="3"/>
  <c r="C639" i="3"/>
  <c r="C640" i="3" s="1"/>
  <c r="J20" i="1"/>
  <c r="E237" i="3"/>
  <c r="C237" i="3" s="1"/>
  <c r="C243" i="3"/>
  <c r="H16" i="1" s="1"/>
  <c r="J16" i="1" s="1"/>
  <c r="C210" i="3"/>
  <c r="C226" i="3"/>
  <c r="C227" i="3" s="1"/>
  <c r="C518" i="3"/>
  <c r="E14" i="1" s="1"/>
  <c r="C514" i="3"/>
  <c r="C516" i="3" s="1"/>
  <c r="C519" i="3" s="1"/>
  <c r="F14" i="1" s="1"/>
  <c r="C745" i="3"/>
  <c r="E12" i="1" s="1"/>
  <c r="C741" i="3"/>
  <c r="C743" i="3" s="1"/>
  <c r="C746" i="3" s="1"/>
  <c r="F12" i="1" s="1"/>
  <c r="C269" i="3"/>
  <c r="C270" i="3" s="1"/>
  <c r="C277" i="3" s="1"/>
  <c r="E24" i="1" s="1"/>
  <c r="C120" i="3"/>
  <c r="C118" i="3" s="1"/>
  <c r="C119" i="3"/>
  <c r="G114" i="3"/>
  <c r="E126" i="3" s="1"/>
  <c r="C126" i="3" s="1"/>
  <c r="C393" i="3"/>
  <c r="C401" i="3" s="1"/>
  <c r="C540" i="3"/>
  <c r="J8" i="1"/>
  <c r="C17" i="3"/>
  <c r="C18" i="3" s="1"/>
  <c r="C272" i="3"/>
  <c r="E21" i="3"/>
  <c r="C21" i="3" s="1"/>
  <c r="C670" i="3"/>
  <c r="E6" i="1" s="1"/>
  <c r="C666" i="3"/>
  <c r="C668" i="3" s="1"/>
  <c r="C671" i="3" s="1"/>
  <c r="F6" i="1" s="1"/>
  <c r="C292" i="3"/>
  <c r="C42" i="3"/>
  <c r="C161" i="3"/>
  <c r="C547" i="3"/>
  <c r="H23" i="1" s="1"/>
  <c r="J23" i="1" s="1"/>
  <c r="C534" i="3"/>
  <c r="C541" i="3" s="1"/>
  <c r="C618" i="3"/>
  <c r="C614" i="3"/>
  <c r="C705" i="3"/>
  <c r="C719" i="3" s="1"/>
  <c r="C350" i="3"/>
  <c r="C349" i="3"/>
  <c r="C77" i="3"/>
  <c r="C78" i="3" s="1"/>
  <c r="G157" i="3"/>
  <c r="C155" i="3" s="1"/>
  <c r="C190" i="3"/>
  <c r="C264" i="3"/>
  <c r="C325" i="3"/>
  <c r="E440" i="3"/>
  <c r="C440" i="3" s="1"/>
  <c r="C446" i="3"/>
  <c r="H22" i="1" s="1"/>
  <c r="J22" i="1" s="1"/>
  <c r="C428" i="3"/>
  <c r="C596" i="3"/>
  <c r="H25" i="1" s="1"/>
  <c r="J25" i="1" s="1"/>
  <c r="C612" i="3"/>
  <c r="C487" i="3"/>
  <c r="C488" i="3" s="1"/>
  <c r="C402" i="3" l="1"/>
  <c r="C405" i="3" s="1"/>
  <c r="F26" i="1" s="1"/>
  <c r="C88" i="3"/>
  <c r="H15" i="1" s="1"/>
  <c r="J15" i="1" s="1"/>
  <c r="I10" i="1"/>
  <c r="K10" i="1" s="1"/>
  <c r="K20" i="1"/>
  <c r="C365" i="3"/>
  <c r="C366" i="3" s="1"/>
  <c r="I7" i="1"/>
  <c r="K7" i="1" s="1"/>
  <c r="C722" i="3"/>
  <c r="E17" i="1" s="1"/>
  <c r="C718" i="3"/>
  <c r="C720" i="3" s="1"/>
  <c r="C723" i="3" s="1"/>
  <c r="F17" i="1" s="1"/>
  <c r="C404" i="3"/>
  <c r="E26" i="1" s="1"/>
  <c r="I26" i="1" s="1"/>
  <c r="K26" i="1" s="1"/>
  <c r="C646" i="3"/>
  <c r="E11" i="1" s="1"/>
  <c r="C642" i="3"/>
  <c r="C644" i="3" s="1"/>
  <c r="C647" i="3" s="1"/>
  <c r="F11" i="1" s="1"/>
  <c r="C542" i="3"/>
  <c r="C545" i="3" s="1"/>
  <c r="F23" i="1" s="1"/>
  <c r="I23" i="1" s="1"/>
  <c r="K23" i="1" s="1"/>
  <c r="C490" i="3"/>
  <c r="C492" i="3" s="1"/>
  <c r="C495" i="3" s="1"/>
  <c r="F8" i="1" s="1"/>
  <c r="C494" i="3"/>
  <c r="E8" i="1" s="1"/>
  <c r="C138" i="3"/>
  <c r="C175" i="3"/>
  <c r="H21" i="1" s="1"/>
  <c r="J21" i="1" s="1"/>
  <c r="C228" i="3"/>
  <c r="C236" i="3" s="1"/>
  <c r="C230" i="3"/>
  <c r="C32" i="3"/>
  <c r="E51" i="3"/>
  <c r="C51" i="3" s="1"/>
  <c r="C52" i="3" s="1"/>
  <c r="C55" i="3" s="1"/>
  <c r="F29" i="1" s="1"/>
  <c r="I29" i="1" s="1"/>
  <c r="C57" i="3"/>
  <c r="H29" i="1" s="1"/>
  <c r="J29" i="1" s="1"/>
  <c r="C328" i="3"/>
  <c r="C327" i="3"/>
  <c r="C323" i="3"/>
  <c r="C322" i="3"/>
  <c r="C332" i="3"/>
  <c r="I12" i="1"/>
  <c r="K12" i="1" s="1"/>
  <c r="C305" i="3"/>
  <c r="H19" i="1" s="1"/>
  <c r="J19" i="1" s="1"/>
  <c r="C299" i="3"/>
  <c r="C300" i="3" s="1"/>
  <c r="C303" i="3" s="1"/>
  <c r="F19" i="1" s="1"/>
  <c r="I19" i="1" s="1"/>
  <c r="C20" i="3"/>
  <c r="C22" i="3" s="1"/>
  <c r="C25" i="3" s="1"/>
  <c r="F31" i="1" s="1"/>
  <c r="C24" i="3"/>
  <c r="E31" i="1" s="1"/>
  <c r="I14" i="1"/>
  <c r="K14" i="1" s="1"/>
  <c r="C351" i="3"/>
  <c r="C362" i="3" s="1"/>
  <c r="C369" i="3"/>
  <c r="C590" i="3"/>
  <c r="C591" i="3" s="1"/>
  <c r="C594" i="3" s="1"/>
  <c r="F25" i="1" s="1"/>
  <c r="C205" i="3"/>
  <c r="H27" i="1" s="1"/>
  <c r="J27" i="1" s="1"/>
  <c r="C180" i="3"/>
  <c r="E199" i="3"/>
  <c r="C199" i="3" s="1"/>
  <c r="C200" i="3" s="1"/>
  <c r="C203" i="3" s="1"/>
  <c r="F27" i="1" s="1"/>
  <c r="I27" i="1" s="1"/>
  <c r="C619" i="3"/>
  <c r="C620" i="3" s="1"/>
  <c r="C623" i="3" s="1"/>
  <c r="F18" i="1" s="1"/>
  <c r="C615" i="3"/>
  <c r="C616" i="3" s="1"/>
  <c r="C622" i="3" s="1"/>
  <c r="E18" i="1" s="1"/>
  <c r="C112" i="3"/>
  <c r="C266" i="3"/>
  <c r="C273" i="3" s="1"/>
  <c r="C263" i="3"/>
  <c r="I6" i="1"/>
  <c r="C773" i="3"/>
  <c r="E28" i="1" s="1"/>
  <c r="C770" i="3"/>
  <c r="C771" i="3" s="1"/>
  <c r="C774" i="3" s="1"/>
  <c r="F28" i="1" s="1"/>
  <c r="C80" i="3"/>
  <c r="C82" i="3" s="1"/>
  <c r="C86" i="3" s="1"/>
  <c r="F15" i="1" s="1"/>
  <c r="C85" i="3"/>
  <c r="E15" i="1" s="1"/>
  <c r="C110" i="3"/>
  <c r="C113" i="3" s="1"/>
  <c r="C117" i="3" s="1"/>
  <c r="C430" i="3"/>
  <c r="C439" i="3" s="1"/>
  <c r="C429" i="3"/>
  <c r="E168" i="3"/>
  <c r="C168" i="3" s="1"/>
  <c r="G156" i="3"/>
  <c r="C153" i="3" s="1"/>
  <c r="C156" i="3" s="1"/>
  <c r="C160" i="3" s="1"/>
  <c r="I17" i="1" l="1"/>
  <c r="K17" i="1" s="1"/>
  <c r="C368" i="3"/>
  <c r="C373" i="3"/>
  <c r="E13" i="1" s="1"/>
  <c r="I8" i="1"/>
  <c r="K8" i="1" s="1"/>
  <c r="I15" i="1"/>
  <c r="K15" i="1" s="1"/>
  <c r="K29" i="1"/>
  <c r="K27" i="1"/>
  <c r="I11" i="1"/>
  <c r="K11" i="1" s="1"/>
  <c r="I18" i="1"/>
  <c r="K18" i="1" s="1"/>
  <c r="C93" i="3"/>
  <c r="C133" i="3"/>
  <c r="H9" i="1" s="1"/>
  <c r="K19" i="1"/>
  <c r="I28" i="1"/>
  <c r="K28" i="1" s="1"/>
  <c r="C587" i="3"/>
  <c r="C588" i="3" s="1"/>
  <c r="C593" i="3" s="1"/>
  <c r="E25" i="1" s="1"/>
  <c r="I25" i="1" s="1"/>
  <c r="K25" i="1" s="1"/>
  <c r="C432" i="3"/>
  <c r="C435" i="3"/>
  <c r="E370" i="3"/>
  <c r="C370" i="3" s="1"/>
  <c r="C376" i="3"/>
  <c r="H13" i="1" s="1"/>
  <c r="J13" i="1" s="1"/>
  <c r="C343" i="3"/>
  <c r="E169" i="3"/>
  <c r="C169" i="3" s="1"/>
  <c r="C164" i="3"/>
  <c r="C324" i="3"/>
  <c r="C338" i="3" s="1"/>
  <c r="H30" i="1" s="1"/>
  <c r="J30" i="1" s="1"/>
  <c r="C331" i="3"/>
  <c r="C333" i="3" s="1"/>
  <c r="C336" i="3" s="1"/>
  <c r="F30" i="1" s="1"/>
  <c r="C231" i="3"/>
  <c r="C232" i="3" s="1"/>
  <c r="K6" i="1"/>
  <c r="E127" i="3"/>
  <c r="C127" i="3" s="1"/>
  <c r="C122" i="3"/>
  <c r="E274" i="3"/>
  <c r="C274" i="3" s="1"/>
  <c r="C275" i="3" s="1"/>
  <c r="C278" i="3" s="1"/>
  <c r="F24" i="1" s="1"/>
  <c r="I24" i="1" s="1"/>
  <c r="C250" i="3"/>
  <c r="C280" i="3"/>
  <c r="H24" i="1" s="1"/>
  <c r="J24" i="1" s="1"/>
  <c r="I31" i="1"/>
  <c r="K31" i="1" s="1"/>
  <c r="C329" i="3"/>
  <c r="C335" i="3" s="1"/>
  <c r="E30" i="1" s="1"/>
  <c r="C371" i="3" l="1"/>
  <c r="C374" i="3" s="1"/>
  <c r="F13" i="1" s="1"/>
  <c r="I13" i="1" s="1"/>
  <c r="K13" i="1" s="1"/>
  <c r="I30" i="1"/>
  <c r="K30" i="1" s="1"/>
  <c r="C234" i="3"/>
  <c r="C240" i="3"/>
  <c r="E16" i="1" s="1"/>
  <c r="K24" i="1"/>
  <c r="C433" i="3"/>
  <c r="C438" i="3"/>
  <c r="C441" i="3" s="1"/>
  <c r="C444" i="3" s="1"/>
  <c r="F22" i="1" s="1"/>
  <c r="C434" i="3"/>
  <c r="H32" i="1"/>
  <c r="J9" i="1"/>
  <c r="C124" i="3"/>
  <c r="C128" i="3" s="1"/>
  <c r="C131" i="3" s="1"/>
  <c r="F9" i="1" s="1"/>
  <c r="C130" i="3"/>
  <c r="E9" i="1" s="1"/>
  <c r="C166" i="3"/>
  <c r="C170" i="3" s="1"/>
  <c r="C173" i="3" s="1"/>
  <c r="F21" i="1" s="1"/>
  <c r="C172" i="3"/>
  <c r="E21" i="1" s="1"/>
  <c r="I21" i="1" l="1"/>
  <c r="K21" i="1" s="1"/>
  <c r="C436" i="3"/>
  <c r="C443" i="3" s="1"/>
  <c r="E22" i="1" s="1"/>
  <c r="I22" i="1" s="1"/>
  <c r="K22" i="1" s="1"/>
  <c r="I9" i="1"/>
  <c r="K9" i="1" s="1"/>
  <c r="J32" i="1"/>
  <c r="C235" i="3"/>
  <c r="C238" i="3" s="1"/>
  <c r="C241" i="3" s="1"/>
  <c r="F16" i="1" s="1"/>
  <c r="I16" i="1" s="1"/>
  <c r="K16" i="1" s="1"/>
  <c r="E32" i="1" l="1"/>
  <c r="I32" i="1"/>
  <c r="K32" i="1" s="1"/>
</calcChain>
</file>

<file path=xl/sharedStrings.xml><?xml version="1.0" encoding="utf-8"?>
<sst xmlns="http://schemas.openxmlformats.org/spreadsheetml/2006/main" count="1514" uniqueCount="668">
  <si>
    <t>ПРЕДПОСЫЛКИ</t>
  </si>
  <si>
    <t>Ставка дисконтирования</t>
  </si>
  <si>
    <t>Гибридная ставка для КЗ</t>
  </si>
  <si>
    <t>Общие выбросы</t>
  </si>
  <si>
    <t>Mt CO₂eq, UNFCCC NIR 2023 (2021)</t>
  </si>
  <si>
    <t>Сектор</t>
  </si>
  <si>
    <t># пп</t>
  </si>
  <si>
    <t>№</t>
  </si>
  <si>
    <t>Мероприятие</t>
  </si>
  <si>
    <t>CAPEX
mUSD</t>
  </si>
  <si>
    <t>OPEX
mUSD/год</t>
  </si>
  <si>
    <t>Срок
лет</t>
  </si>
  <si>
    <t>Снижение
kt CO₂eq/год</t>
  </si>
  <si>
    <t>NPV
mUSD</t>
  </si>
  <si>
    <t>Диск. CO₂
kt</t>
  </si>
  <si>
    <t>MAC
USD/t</t>
  </si>
  <si>
    <t>3</t>
  </si>
  <si>
    <t>Точное земледелие (снижение N₂O от удобрений)</t>
  </si>
  <si>
    <t>Улучшение управления пастбищами</t>
  </si>
  <si>
    <t>1.B</t>
  </si>
  <si>
    <t>Утилизация попутного нефтяного газа (ПНГ)</t>
  </si>
  <si>
    <t>1.A.1</t>
  </si>
  <si>
    <t>ВИЭ + газовый пикер + котельная (альтернатива новым ТЭЦ)</t>
  </si>
  <si>
    <t>LDAR: обнаружение и устранение утечек метана (нефтегаз)</t>
  </si>
  <si>
    <t>Улучшение управления навозом (биогаз)</t>
  </si>
  <si>
    <t>5</t>
  </si>
  <si>
    <t>Модернизация очистных сооружений (снижение CH₄)</t>
  </si>
  <si>
    <t>1.A.4</t>
  </si>
  <si>
    <t>Термомодернизация зданий (утепление фасадов, окна, кровля)</t>
  </si>
  <si>
    <t>Дегазация угольных шахт (метан угольных пластов)</t>
  </si>
  <si>
    <t>ВИЭ: солнечные и ветровые станции</t>
  </si>
  <si>
    <t>Тепловые насосы для централизованного теплоснабжения</t>
  </si>
  <si>
    <t>Улавливание и утилизация свалочного газа (LFG)</t>
  </si>
  <si>
    <t>Кормовые добавки для снижения энтеральной ферментации (CH₄)</t>
  </si>
  <si>
    <t>1.A.2</t>
  </si>
  <si>
    <t>Утилизация ВЭР (рекуперация тепла отходящих газов)</t>
  </si>
  <si>
    <t>2</t>
  </si>
  <si>
    <t>Снижение клинкерного фактора в цементном производстве</t>
  </si>
  <si>
    <t>ВИЭ + газовый пикер + котельная на месте ТЭЦ (закрытие старых угольных ТЭЦ)</t>
  </si>
  <si>
    <t>Электрокотёл + ВИЭ (полная декарбонизация ЖКХ)</t>
  </si>
  <si>
    <t>Снижение утечек в газотранспортной системе</t>
  </si>
  <si>
    <t>Электрификация теплоснабжения (электрокотлы + ВИЭ)</t>
  </si>
  <si>
    <t>Газификация ЖКХ (переходная мера)</t>
  </si>
  <si>
    <t>Атомная энергетика (замещение базовой угольной нагрузки)</t>
  </si>
  <si>
    <t>4</t>
  </si>
  <si>
    <t>Лесонасаждение (афорестация и лесовосстановление)</t>
  </si>
  <si>
    <t>Перевод угольных ТЭЦ и котельных на природный газ</t>
  </si>
  <si>
    <t>1.A.3</t>
  </si>
  <si>
    <t>Электрификация легкового транспорта (EV)</t>
  </si>
  <si>
    <t>Повышение КПД угольных ТЭЦ (модернизация турбин и котлов)</t>
  </si>
  <si>
    <t>ИТОГО</t>
  </si>
  <si>
    <t>ОСНОВНЫЕ ИНПУТЫ — единые ценовые и эмиссионные допущения (связаны с листом «Расчёты»)</t>
  </si>
  <si>
    <t>Цена угля</t>
  </si>
  <si>
    <t>$/т</t>
  </si>
  <si>
    <t>Внутренний рынок КЗ</t>
  </si>
  <si>
    <t>Цена газа</t>
  </si>
  <si>
    <t>$/тыс.м³</t>
  </si>
  <si>
    <t>Внутренний тариф КЗ (несубсид.)</t>
  </si>
  <si>
    <t>Цена ЭЭ (ВИЭ, опт.)</t>
  </si>
  <si>
    <t>$/МВтч</t>
  </si>
  <si>
    <t>KOREM, аукционы ВИЭ</t>
  </si>
  <si>
    <t>EF угля (электрогенерация)</t>
  </si>
  <si>
    <t>тCO₂/МВтч</t>
  </si>
  <si>
    <t>EF газа (электрогенерация)</t>
  </si>
  <si>
    <t>EF угольной котельной/ТЭЦ</t>
  </si>
  <si>
    <t>тCO₂/Гкал</t>
  </si>
  <si>
    <t>по теплу</t>
  </si>
  <si>
    <t>Содержание C в угле</t>
  </si>
  <si>
    <t>доля</t>
  </si>
  <si>
    <t>Экибастуз / IPCC default</t>
  </si>
  <si>
    <t>КЛЮЧЕВЫЕ УДЕЛЬНЫЕ CAPEX (по технологиям)</t>
  </si>
  <si>
    <t>Модернизация угольной ТЭЦ (КПД)</t>
  </si>
  <si>
    <t>$/кВт</t>
  </si>
  <si>
    <t>Перевод ТЭЦ на газ</t>
  </si>
  <si>
    <t>газ.турбина + газопровод</t>
  </si>
  <si>
    <t>ВИЭ — солнце</t>
  </si>
  <si>
    <t>IRENA 2023</t>
  </si>
  <si>
    <t>ВИЭ — ветер</t>
  </si>
  <si>
    <t>Газовый пикер (GT)</t>
  </si>
  <si>
    <t>CCGT/OCGT peaker</t>
  </si>
  <si>
    <t>АЭС</t>
  </si>
  <si>
    <t>IAEA 2023, large PWR</t>
  </si>
  <si>
    <t>Тепловой насос</t>
  </si>
  <si>
    <t>$/кВт(э)</t>
  </si>
  <si>
    <t>Промышл. ТН</t>
  </si>
  <si>
    <t>Электрокотёл</t>
  </si>
  <si>
    <t>Euroheat &amp; Power</t>
  </si>
  <si>
    <t>Утилизация ВЭР (генератор)</t>
  </si>
  <si>
    <t>$/кВт(т)</t>
  </si>
  <si>
    <t>EV (разница к ДВС)</t>
  </si>
  <si>
    <t>$/авто</t>
  </si>
  <si>
    <t>IEA EV Outlook 2024</t>
  </si>
  <si>
    <t>Термомодернизация (утепление)</t>
  </si>
  <si>
    <t>$/м²</t>
  </si>
  <si>
    <t>фасад+окна+кровля</t>
  </si>
  <si>
    <t>Улавливание CCUS</t>
  </si>
  <si>
    <t>$/т CO₂/год</t>
  </si>
  <si>
    <t>TRL 6-7</t>
  </si>
  <si>
    <t>Лесонасаждение</t>
  </si>
  <si>
    <t>$/га</t>
  </si>
  <si>
    <t>FAO, адапт. для КЗ</t>
  </si>
  <si>
    <t>Выбросы парниковых газов Республики Казахстан по секторам МГЭИК</t>
  </si>
  <si>
    <t>Источник: Первый двухлетний доклад о прозрачности (BTR1), РКИК ООН, ноябрь 2024</t>
  </si>
  <si>
    <t>Год инвентаризации: 2022. GWP: AR5. Методология: Руководящие принципы МГЭИК 2006</t>
  </si>
  <si>
    <t>Код МГЭИК</t>
  </si>
  <si>
    <t>Сектор / подкатегория</t>
  </si>
  <si>
    <t>Mt CO₂eq</t>
  </si>
  <si>
    <t>% от общих</t>
  </si>
  <si>
    <t>1990 Mt</t>
  </si>
  <si>
    <t>Δ 1990/2022</t>
  </si>
  <si>
    <t>Источник / примечание</t>
  </si>
  <si>
    <t>1</t>
  </si>
  <si>
    <t>ЭНЕРГЕТИКА</t>
  </si>
  <si>
    <t>BTR1, Таблица 1</t>
  </si>
  <si>
    <t>1.A</t>
  </si>
  <si>
    <t>Сжигание топлива</t>
  </si>
  <si>
    <t>≈84.5% от сектора 1, пропорция NIR 2023</t>
  </si>
  <si>
    <t>Энергетические отрасли (ТЭЦ, ГРЭС, котельные)</t>
  </si>
  <si>
    <t>≈48% от сектора 1. Электро- и теплогенерация</t>
  </si>
  <si>
    <t>Обрабатывающая промышленность и строительство</t>
  </si>
  <si>
    <t>≈9.3% от сектора 1. Металлургия, НПЗ, химия</t>
  </si>
  <si>
    <t>Транспорт</t>
  </si>
  <si>
    <t>≈9.6% от сектора 1. Автомобильный, ж/д, авиация</t>
  </si>
  <si>
    <t>Другие секторы (ЖКХ, коммерческий, с/х)</t>
  </si>
  <si>
    <t>≈16.5% от сектора 1. Отопление зданий</t>
  </si>
  <si>
    <t>1.A.5</t>
  </si>
  <si>
    <t>Прочее</t>
  </si>
  <si>
    <t>Военная деятельность и пр.</t>
  </si>
  <si>
    <t>Фугитивные выбросы</t>
  </si>
  <si>
    <t>≈15.5% от сектора 1. Нефтегаз + угольные шахты</t>
  </si>
  <si>
    <t>1.B.1</t>
  </si>
  <si>
    <t>Твёрдое топливо (уголь)</t>
  </si>
  <si>
    <t>Дегазация угольных шахт, Караганда</t>
  </si>
  <si>
    <t>1.B.2</t>
  </si>
  <si>
    <t>Нефть и газ</t>
  </si>
  <si>
    <t>Факельное сжигание, утечки, вентиляция</t>
  </si>
  <si>
    <t>ПРОМЫШЛЕННЫЕ ПРОЦЕССЫ И ИСПОЛЬЗОВАНИЕ ПРОДУКЦИИ (IPPU)</t>
  </si>
  <si>
    <t>2.A</t>
  </si>
  <si>
    <t>Минеральная промышленность</t>
  </si>
  <si>
    <t>≈32% от IPPU. Цемент, известь, стекло</t>
  </si>
  <si>
    <t>2.B</t>
  </si>
  <si>
    <t>Химическая промышленность</t>
  </si>
  <si>
    <t>≈4% от IPPU</t>
  </si>
  <si>
    <t>2.C</t>
  </si>
  <si>
    <t>Металлургия</t>
  </si>
  <si>
    <t>≈55% от IPPU. Чугун, сталь, ферросплавы, алюминий</t>
  </si>
  <si>
    <t>2.D-F</t>
  </si>
  <si>
    <t>Прочее IPPU (ГФУ, ПФУ, SF₆, растворители)</t>
  </si>
  <si>
    <t>F-газы: 2.7 Mt CO₂eq (BTR1 текст)</t>
  </si>
  <si>
    <t>СЕЛЬСКОЕ ХОЗЯЙСТВО</t>
  </si>
  <si>
    <t>3.A</t>
  </si>
  <si>
    <t>Энтеральная ферментация</t>
  </si>
  <si>
    <t>≈54% от сектора. КРС, МРС</t>
  </si>
  <si>
    <t>3.B</t>
  </si>
  <si>
    <t>Управление навозом</t>
  </si>
  <si>
    <t>≈10%</t>
  </si>
  <si>
    <t>3.C</t>
  </si>
  <si>
    <t>Рисоводство</t>
  </si>
  <si>
    <t>≈1%. Незначительно</t>
  </si>
  <si>
    <t>3.D</t>
  </si>
  <si>
    <t>Сельскохозяйственные почвы</t>
  </si>
  <si>
    <t>≈35%. N₂O от удобрений и растит. остатков</t>
  </si>
  <si>
    <t>ЗЕМЛЕПОЛЬЗОВАНИЕ (LULUCF)</t>
  </si>
  <si>
    <t>н/п</t>
  </si>
  <si>
    <t>BTR1, Таблица 1. Нетто-источник с ~2000 г.</t>
  </si>
  <si>
    <t>ОТХОДЫ</t>
  </si>
  <si>
    <t>5.A</t>
  </si>
  <si>
    <t>Захоронение твёрдых отходов</t>
  </si>
  <si>
    <t>≈52% от сектора. Полигоны ТБО</t>
  </si>
  <si>
    <t>5.D</t>
  </si>
  <si>
    <t>Очистка сточных вод</t>
  </si>
  <si>
    <t>≈47%. CH₄ от анаэробных процессов</t>
  </si>
  <si>
    <t>5.C</t>
  </si>
  <si>
    <t>Сжигание отходов</t>
  </si>
  <si>
    <t>≈1%</t>
  </si>
  <si>
    <t>ИТОГО БЕЗ LULUCF</t>
  </si>
  <si>
    <t>ИТОГО С LULUCF (нетто)</t>
  </si>
  <si>
    <t>Примечания:</t>
  </si>
  <si>
    <t>1. Данные по основным секторам (1, 2, 3, 4, 5) — официальные из BTR1 Казахстана (РКИК ООН, ноябрь 2024), Таблица 1.</t>
  </si>
  <si>
    <t>2. Данные по подкатегориям (1.A.1, 1.A.2 и т.д.) — оценочные, на основе пропорций из GHG Profile и NIR 2023.</t>
  </si>
  <si>
    <t>3. Для обновления подкатегорий до официальных данных используйте CRT таблицы (Common Reporting Tables), поданные в декабрь 2024.</t>
  </si>
  <si>
    <t>4. GWP: AR5 (CO₂=1, CH₄=28, N₂O=265). Методология: IPCC 2006 Guidelines.</t>
  </si>
  <si>
    <t>5. NDC Казахстана: безусловная цель −15% к 2030 от 1990 (≤332 Mt), условная −25% (≤293 Mt).</t>
  </si>
  <si>
    <t>6. В 2022 году выбросы без LULUCF составили 348.8 Mt, что на 10.7% ниже 1990 и на 7.8% выше 2021 (постковидное восстановление).</t>
  </si>
  <si>
    <t>Источники:</t>
  </si>
  <si>
    <t>BTR1: https://unfccc.int/sites/default/files/resource/BTR1%20Kazakhstan_en.pdf</t>
  </si>
  <si>
    <t>Carbon Neutrality Strategy 2060: https://unfccc.int/sites/default/files/resource/Carbon_Neutrlaity_Strategy_Kazakhstan_Eng_Oct2024.pdf</t>
  </si>
  <si>
    <t>UNFCCC Data Interface: https://di.unfccc.int/detailed_data_by_party</t>
  </si>
  <si>
    <t>РАСЧЁТЫ МЕРОПРИЯТИЙ</t>
  </si>
  <si>
    <t>[1.A.1-1] Повышение КПД угольных ТЭЦ (модернизация турбин и котлов)</t>
  </si>
  <si>
    <t>ПРЕДПОСЫЛКИ И ИСХОДНЫЕ ДАННЫЕ</t>
  </si>
  <si>
    <t>Выбросы сектора 1.A.1</t>
  </si>
  <si>
    <t>Mt CO₂eq/год</t>
  </si>
  <si>
    <t>UNFCCC NIR 2023</t>
  </si>
  <si>
    <t>Доля мероприятия</t>
  </si>
  <si>
    <t>Повышение КПД (абс.)</t>
  </si>
  <si>
    <t>п.п.</t>
  </si>
  <si>
    <t>2%, типичная модернизация</t>
  </si>
  <si>
    <t>Уд. CAPEX модернизации</t>
  </si>
  <si>
    <t>Оборудование</t>
  </si>
  <si>
    <t>Средний КИУМ</t>
  </si>
  <si>
    <t>Статистика KEGOC</t>
  </si>
  <si>
    <t>Экибастуз</t>
  </si>
  <si>
    <t>Срок службы</t>
  </si>
  <si>
    <t>лет</t>
  </si>
  <si>
    <t>РАСЧЁТ СНИЖЕНИЯ ВЫБРОСОВ</t>
  </si>
  <si>
    <t>Снижение выбросов</t>
  </si>
  <si>
    <t>kt CO₂eq/год</t>
  </si>
  <si>
    <t>Замещаемая мощность</t>
  </si>
  <si>
    <t>МВт</t>
  </si>
  <si>
    <t>оценка действующей генерации</t>
  </si>
  <si>
    <t>CAPEX (mUSD)</t>
  </si>
  <si>
    <t xml:space="preserve">  Модернизация турбин и котлов</t>
  </si>
  <si>
    <t xml:space="preserve">  Проектные и пусконаладочные работы</t>
  </si>
  <si>
    <t>30% от оборудования</t>
  </si>
  <si>
    <t xml:space="preserve">  ИТОГО CAPEX</t>
  </si>
  <si>
    <t>OPEX (mUSD/год, инкрементально)</t>
  </si>
  <si>
    <t xml:space="preserve">  ТОиР</t>
  </si>
  <si>
    <t>1% от CAPEX</t>
  </si>
  <si>
    <t xml:space="preserve">  Экономия топлива</t>
  </si>
  <si>
    <t>млн т угля</t>
  </si>
  <si>
    <t xml:space="preserve">  ИТОГО OPEX</t>
  </si>
  <si>
    <t>КЛЮЧЕВЫЕ ВЫХОДЫ → таблица MACC</t>
  </si>
  <si>
    <t>CAPEX</t>
  </si>
  <si>
    <t>mUSD</t>
  </si>
  <si>
    <t>OPEX</t>
  </si>
  <si>
    <t>mUSD/год</t>
  </si>
  <si>
    <t>[1.A.1-2] Перевод угольных ТЭЦ и котельных на природный газ</t>
  </si>
  <si>
    <t>Лист «Мероприятия»</t>
  </si>
  <si>
    <t>Уд. CAPEX перевода</t>
  </si>
  <si>
    <t>IEA, gas turbine + pipeline</t>
  </si>
  <si>
    <t>Доля затрат: газопровод и подключение</t>
  </si>
  <si>
    <t>Экспертная оценка</t>
  </si>
  <si>
    <t>Внутренний тариф КЗ</t>
  </si>
  <si>
    <t>Внутренний рынок</t>
  </si>
  <si>
    <t>EF угля</t>
  </si>
  <si>
    <t>тCO2/МВтч</t>
  </si>
  <si>
    <t>EF газа</t>
  </si>
  <si>
    <t>КИУМ</t>
  </si>
  <si>
    <t xml:space="preserve">  Газотурбинное/котельное оборудование</t>
  </si>
  <si>
    <t xml:space="preserve">  Газопроводы и подключение</t>
  </si>
  <si>
    <t>тыс $/МВт в мес снижения при переходе на газ</t>
  </si>
  <si>
    <t xml:space="preserve">  Затраты на газ</t>
  </si>
  <si>
    <t>млн м3</t>
  </si>
  <si>
    <t xml:space="preserve">  Экономия угля</t>
  </si>
  <si>
    <t>[1.A.1-3] ВИЭ: солнечные и ветровые станции</t>
  </si>
  <si>
    <t>CF ВИЭ средневзвешенный</t>
  </si>
  <si>
    <t>IRENA 2024, Kazakhstan</t>
  </si>
  <si>
    <t>Доля curtailment</t>
  </si>
  <si>
    <t>Уд. CAPEX солнце</t>
  </si>
  <si>
    <t>IRENA Renewable Costs 2023</t>
  </si>
  <si>
    <t>Уд. CAPEX ветер</t>
  </si>
  <si>
    <t>Доля солнца в миксе</t>
  </si>
  <si>
    <t>Допущение 50/50</t>
  </si>
  <si>
    <t>Затраты на сети</t>
  </si>
  <si>
    <t>от CAPEX обор.</t>
  </si>
  <si>
    <t>Содержание C</t>
  </si>
  <si>
    <t>IPCC default</t>
  </si>
  <si>
    <t>Установленная мощность ВИЭ</t>
  </si>
  <si>
    <t>дополнительно к базовому плану</t>
  </si>
  <si>
    <t>ВИЭ</t>
  </si>
  <si>
    <t xml:space="preserve">  Сети и подключение</t>
  </si>
  <si>
    <t xml:space="preserve">  ТОиР ВИЭ</t>
  </si>
  <si>
    <t>1.5% от CAPEX</t>
  </si>
  <si>
    <t>тыс.т → mUSD</t>
  </si>
  <si>
    <t>[1.A.1-4] ВИЭ + газовый пикер + электрокотельная (альтернатива новым ТЭЦ)</t>
  </si>
  <si>
    <t>CF ВИЭ</t>
  </si>
  <si>
    <t>IRENA 2024</t>
  </si>
  <si>
    <t>Уд. CAPEX ВИЭ (средн.)</t>
  </si>
  <si>
    <t>Средняя солнце+ветер</t>
  </si>
  <si>
    <t>Уд. CAPEX угольная ТЭЦ</t>
  </si>
  <si>
    <t>Уд. CAPEX газовый пикер</t>
  </si>
  <si>
    <t>КПД</t>
  </si>
  <si>
    <t>Уд. CAPEX электрокотельная</t>
  </si>
  <si>
    <t>Водогрейная котельная</t>
  </si>
  <si>
    <t>Мощность котельной</t>
  </si>
  <si>
    <t>КИУМ ТЭЦ</t>
  </si>
  <si>
    <t>КИУМ пикера</t>
  </si>
  <si>
    <t>КИУМ по теплу</t>
  </si>
  <si>
    <t>Тепловые мощности ТЭЦ</t>
  </si>
  <si>
    <t>Условое соотношение тепловой нагрузки к электрической</t>
  </si>
  <si>
    <t>Стоимость присоединения пикеров к сетям</t>
  </si>
  <si>
    <t>от CAPEX</t>
  </si>
  <si>
    <t>$/тыс м3</t>
  </si>
  <si>
    <t xml:space="preserve">Эквивалентная выработка ВИЭ </t>
  </si>
  <si>
    <t>условно применяем к существующим выбросам</t>
  </si>
  <si>
    <t>Мощность ВИЭ</t>
  </si>
  <si>
    <t>Выработка</t>
  </si>
  <si>
    <t>Отпуск тепла</t>
  </si>
  <si>
    <t>Мощность пикера</t>
  </si>
  <si>
    <t>Мощность ТЭЦ</t>
  </si>
  <si>
    <t>ВИЭ (солнце+ветер)</t>
  </si>
  <si>
    <t>Развитие электросетей (на пикеры)</t>
  </si>
  <si>
    <t>пока допущение что затраты сидят внутри capex генерации</t>
  </si>
  <si>
    <t>Отказ от строительства ТЭЦ</t>
  </si>
  <si>
    <t>Газотурбинный пикер</t>
  </si>
  <si>
    <t>Котельная</t>
  </si>
  <si>
    <t>50% мощности ВИЭ по теплу</t>
  </si>
  <si>
    <t xml:space="preserve">  Снижение опекса ТЭЦ</t>
  </si>
  <si>
    <t>тыс $/МВт в мес снижения при переходе на газ (это если заменяем старые тэц)</t>
  </si>
  <si>
    <t>Потребление газа</t>
  </si>
  <si>
    <t>[1.A.1-8] ВИЭ + газовый пикер + котельная на месте ТЭЦ (закрытие старых угольных ТЭЦ)</t>
  </si>
  <si>
    <t>Удельный CAPEX модернизации ТЭЦ</t>
  </si>
  <si>
    <t>Уд. CAPEX переоборудование в котельную</t>
  </si>
  <si>
    <t>Паровая+водогрейная котельная</t>
  </si>
  <si>
    <t>Тепловая мощности ТЭЦ</t>
  </si>
  <si>
    <t>выработк</t>
  </si>
  <si>
    <t>отпуск тепла</t>
  </si>
  <si>
    <t xml:space="preserve">  ВИЭ (солнце+ветер)</t>
  </si>
  <si>
    <t xml:space="preserve">  Газотурбинный пикер</t>
  </si>
  <si>
    <t>Отказ от модернизации ТЭЦ</t>
  </si>
  <si>
    <t>тыс $/МВт в мес снижения при переходе на котельные</t>
  </si>
  <si>
    <t>[1.A.1-5] Атомная энергетика (замещение базовой угольной нагрузки)</t>
  </si>
  <si>
    <t>Уд. CAPEX АЭС</t>
  </si>
  <si>
    <t>Эскалация</t>
  </si>
  <si>
    <t>КИУМ АЭС</t>
  </si>
  <si>
    <t>Типовой для PWR</t>
  </si>
  <si>
    <t>Уд. ТОиР</t>
  </si>
  <si>
    <t>NEA/IEA Projected Costs 2020</t>
  </si>
  <si>
    <t>Топливные затраты АЭС</t>
  </si>
  <si>
    <t>Урановый цикл</t>
  </si>
  <si>
    <t>Мощность АЭС</t>
  </si>
  <si>
    <t>тыс. МВтч/год</t>
  </si>
  <si>
    <t xml:space="preserve">  Строительство АЭС</t>
  </si>
  <si>
    <t xml:space="preserve">  ТОиР АЭС</t>
  </si>
  <si>
    <t xml:space="preserve">  Ядерное топливо</t>
  </si>
  <si>
    <t>[1.A.1-6] Тепловые насосы для централизованного теплоснабжения</t>
  </si>
  <si>
    <t>Общий объем проивзодства тепла</t>
  </si>
  <si>
    <t>тыс Гкал</t>
  </si>
  <si>
    <t>Потенциал замещения тепловыми насосами</t>
  </si>
  <si>
    <t>10% - предположение</t>
  </si>
  <si>
    <t>COP теплового насоса</t>
  </si>
  <si>
    <t>Промышленные ТН, зимний режим</t>
  </si>
  <si>
    <t>Уд. CAPEX ТН</t>
  </si>
  <si>
    <t>Промышленные ТН (&gt;1МВт)</t>
  </si>
  <si>
    <t>Модернизация сетей теплоснабжения</t>
  </si>
  <si>
    <t>от CAPEX ТН</t>
  </si>
  <si>
    <t>Цена электроэнергии</t>
  </si>
  <si>
    <t>KOREM аукционы ВИЭ</t>
  </si>
  <si>
    <t>УРУТ на тепло (уголь)</t>
  </si>
  <si>
    <t>кг у.т./Гкал</t>
  </si>
  <si>
    <t>tCO₂/Гкал</t>
  </si>
  <si>
    <t>Доля С в угле</t>
  </si>
  <si>
    <t>Отопительный сезон</t>
  </si>
  <si>
    <t>Снижение потерь в теплосетях</t>
  </si>
  <si>
    <t>Мощность ТН (тепловая)</t>
  </si>
  <si>
    <t>МВт(т)</t>
  </si>
  <si>
    <t>Мощность ТН (электр.)</t>
  </si>
  <si>
    <t>МВт(э)</t>
  </si>
  <si>
    <t>Потребление ЭЭ</t>
  </si>
  <si>
    <t>тыс. МВтч</t>
  </si>
  <si>
    <t xml:space="preserve">  Тепловые насосы</t>
  </si>
  <si>
    <t>Сокращение OPEX котельных и ТЭЦ</t>
  </si>
  <si>
    <t>упрощенно, исходии из того что часть мощностей можно будет остановить</t>
  </si>
  <si>
    <t xml:space="preserve">  Электроэнергия</t>
  </si>
  <si>
    <t>[1.A.1-7] Электрификация теплоснабжения (электрокотлы + ВИЭ)</t>
  </si>
  <si>
    <t>Общие тепловые мощности</t>
  </si>
  <si>
    <t>Доля мероприятия в секторе</t>
  </si>
  <si>
    <t>Уд. CAPEX электрокотел</t>
  </si>
  <si>
    <t>от CAPEX котла</t>
  </si>
  <si>
    <t>УРУТ на тепло</t>
  </si>
  <si>
    <t>Цена ЭЭ ВИЭ</t>
  </si>
  <si>
    <t>KOREM</t>
  </si>
  <si>
    <t>Снижение потерь</t>
  </si>
  <si>
    <t>за счет более распределенного теплоснабжения</t>
  </si>
  <si>
    <t>Доля перехода</t>
  </si>
  <si>
    <t>Тепло (замещаемое)</t>
  </si>
  <si>
    <t>тыс. Гкал</t>
  </si>
  <si>
    <t>Мощность электрокотлов</t>
  </si>
  <si>
    <t xml:space="preserve">  Электрокотлы</t>
  </si>
  <si>
    <t xml:space="preserve">  Расширение электросетей</t>
  </si>
  <si>
    <t>[1.A.2-1] Утилизация ВЭР (рекуперация тепла отходящих газов)</t>
  </si>
  <si>
    <t>Выбросы сектора 1.A.2</t>
  </si>
  <si>
    <t xml:space="preserve">Уд. CAPEX генератора </t>
  </si>
  <si>
    <t>Промышл. теплообменники</t>
  </si>
  <si>
    <t>CF ожидаемый</t>
  </si>
  <si>
    <t>Потенциальная электрическая мощность</t>
  </si>
  <si>
    <t>Металлургия+НПЗ, оценка</t>
  </si>
  <si>
    <t>Генераторы</t>
  </si>
  <si>
    <t>3% — агрессивная среда</t>
  </si>
  <si>
    <t>[1.A.3-1] Электрификация легкового транспорта (EV)</t>
  </si>
  <si>
    <t>Выбросы сектора 1.A.3</t>
  </si>
  <si>
    <t>Разница CAPEX EV vs ДВС</t>
  </si>
  <si>
    <t>Средняя, IEA EV Outlook 2024</t>
  </si>
  <si>
    <t>Средний пробег</t>
  </si>
  <si>
    <t>км/год</t>
  </si>
  <si>
    <t>Расход ДВС</t>
  </si>
  <si>
    <t>л/100км</t>
  </si>
  <si>
    <t>Цена бензина</t>
  </si>
  <si>
    <t>$/л</t>
  </si>
  <si>
    <t>Цена кВтч</t>
  </si>
  <si>
    <t>розница</t>
  </si>
  <si>
    <t>расход ээ на пробег</t>
  </si>
  <si>
    <t>кВтч/100 км</t>
  </si>
  <si>
    <t>EF бензина</t>
  </si>
  <si>
    <t>кгCO₂/л</t>
  </si>
  <si>
    <t>IPCC</t>
  </si>
  <si>
    <t>Снижение выбросов за счет бензина</t>
  </si>
  <si>
    <t>Снижение потребления бензина</t>
  </si>
  <si>
    <t>млн л</t>
  </si>
  <si>
    <t>Рост потребления электроэнергии</t>
  </si>
  <si>
    <t>млрд кВтч</t>
  </si>
  <si>
    <t>Рост выбросов в системе (ВИЭ+ГЭС+АЭС - 50%)</t>
  </si>
  <si>
    <t>Количество EV</t>
  </si>
  <si>
    <t>тыс. шт</t>
  </si>
  <si>
    <t xml:space="preserve">  Инкрементальная стоимость EV парка</t>
  </si>
  <si>
    <t xml:space="preserve">  Зарядная инфраструктура</t>
  </si>
  <si>
    <t>~$1K на авто</t>
  </si>
  <si>
    <t xml:space="preserve">  Затраты на ЭЭ</t>
  </si>
  <si>
    <t xml:space="preserve">  Экономия бензина</t>
  </si>
  <si>
    <t>[1.A.4-1] Термомодернизация зданий (утепление фасадов, окна, кровля)</t>
  </si>
  <si>
    <t>Выбросы сектора 1.A.4</t>
  </si>
  <si>
    <t>Уд. CAPEX утепления</t>
  </si>
  <si>
    <t>Средняя по фасад+окна+кровля</t>
  </si>
  <si>
    <t>Средняя площадь здания</t>
  </si>
  <si>
    <t>м²</t>
  </si>
  <si>
    <t>МКД, 5 этажей</t>
  </si>
  <si>
    <t>Кол-во зданий</t>
  </si>
  <si>
    <t>Жилой фонд сов. постройки</t>
  </si>
  <si>
    <t>Снижение теплопотребования в домах</t>
  </si>
  <si>
    <t>30-40% минимум, но для РК скорее всего в 2-3 раза, база очень высокая</t>
  </si>
  <si>
    <t>Потребление тепла до проекта</t>
  </si>
  <si>
    <t>ГВтч</t>
  </si>
  <si>
    <t>Потребление тепла после</t>
  </si>
  <si>
    <t>Площадь фасада от площади дома</t>
  </si>
  <si>
    <t>a</t>
  </si>
  <si>
    <t>b</t>
  </si>
  <si>
    <t>h</t>
  </si>
  <si>
    <t>этажей</t>
  </si>
  <si>
    <t>$/т у.т.</t>
  </si>
  <si>
    <t>Удельное теплопотребление</t>
  </si>
  <si>
    <t>кВтч/м2</t>
  </si>
  <si>
    <t>UNDP / энергоаудит 2010-2013 с учетом экспетно снижения на 10% за счет нового фонда за 10 лет</t>
  </si>
  <si>
    <t>Потери в тепловых сетях</t>
  </si>
  <si>
    <t>Экспертно - типично для централизованного теплоснабжения с износом</t>
  </si>
  <si>
    <t>Снижение эффективности работы ТЭЦ</t>
  </si>
  <si>
    <t>среднесрочный остаток - пока ТЭЦ не подстроятся по мощностях на новую тепловую нагрузку</t>
  </si>
  <si>
    <t xml:space="preserve">  Утепление фасадов и кровли</t>
  </si>
  <si>
    <t xml:space="preserve">  Замена окон и дверей</t>
  </si>
  <si>
    <t>20% от основного</t>
  </si>
  <si>
    <t>ТОиР</t>
  </si>
  <si>
    <t>Снижение затрат на котельные/ТЭЦ</t>
  </si>
  <si>
    <t>$/кВт в год - отражает снижение капекс в поддержание лишних мощностей</t>
  </si>
  <si>
    <t>Снижение потребления угля</t>
  </si>
  <si>
    <t>[1.A.4-4] Газификация ЖКХ (переходная мера)</t>
  </si>
  <si>
    <t>Протяжённость газопроводов</t>
  </si>
  <si>
    <t>км</t>
  </si>
  <si>
    <t>Программа газификации</t>
  </si>
  <si>
    <t>Уд. CAPEX газопровод</t>
  </si>
  <si>
    <t>mUSD/км</t>
  </si>
  <si>
    <t>Кол-во подключений</t>
  </si>
  <si>
    <t>Уд. CAPEX подключение</t>
  </si>
  <si>
    <t>тыс. $/шт</t>
  </si>
  <si>
    <t>Цена газа (несубсидируемая)</t>
  </si>
  <si>
    <t>$/тыс. м3</t>
  </si>
  <si>
    <t>Средний расход газа на точке</t>
  </si>
  <si>
    <t>тыс. м3/в год</t>
  </si>
  <si>
    <t>млрд м3</t>
  </si>
  <si>
    <t>Сокращение потребления угля</t>
  </si>
  <si>
    <t>млн т</t>
  </si>
  <si>
    <t xml:space="preserve">  Магистральные и распред. газопроводы</t>
  </si>
  <si>
    <t xml:space="preserve">  Подключение потребителей</t>
  </si>
  <si>
    <t xml:space="preserve">  ТОиР газовой инфраструктуры</t>
  </si>
  <si>
    <t>допущение</t>
  </si>
  <si>
    <t>[1.A.4-5] Электрокотёл + ВИЭ (полная декарбонизация ЖКХ)</t>
  </si>
  <si>
    <t>Технический потенциал</t>
  </si>
  <si>
    <t>Затраты: электросети</t>
  </si>
  <si>
    <t>Затраты: тепловые сети (СМР)</t>
  </si>
  <si>
    <t>Экон. CAPEX: закрытие котельных</t>
  </si>
  <si>
    <t>$/кВт/год</t>
  </si>
  <si>
    <t>Avoided поддержание</t>
  </si>
  <si>
    <t>Замещаемое тепло</t>
  </si>
  <si>
    <t xml:space="preserve">  СМР и тепловые сети</t>
  </si>
  <si>
    <t xml:space="preserve">  Экономия: закрытие котельных</t>
  </si>
  <si>
    <t xml:space="preserve">  Электроэнергия ВИЭ</t>
  </si>
  <si>
    <t>[1.B-1] LDAR: обнаружение и устранение утечек метана (нефтегаз)</t>
  </si>
  <si>
    <t>Выбросы сектора 1.B</t>
  </si>
  <si>
    <t>Кол-во объектов</t>
  </si>
  <si>
    <t>шт</t>
  </si>
  <si>
    <t>Скважины, КС, НПЗ. Оценка МЭ РК</t>
  </si>
  <si>
    <t>Уд. CAPEX: обследование+ремонт</t>
  </si>
  <si>
    <t>тыс. $/объект</t>
  </si>
  <si>
    <t>EPA LDAR cost</t>
  </si>
  <si>
    <t>Уд. CAPEX: OGI оборудование</t>
  </si>
  <si>
    <t>FLIR GF320, распределённый</t>
  </si>
  <si>
    <t>Уд. OPEX: мониторинг</t>
  </si>
  <si>
    <t>тыс. $/объект/год</t>
  </si>
  <si>
    <t>Персонал + повторные обходы</t>
  </si>
  <si>
    <t>Выручка от сохранённого газа</t>
  </si>
  <si>
    <t>~$3/MMBTU</t>
  </si>
  <si>
    <t xml:space="preserve">  Обследование и ремонт</t>
  </si>
  <si>
    <t xml:space="preserve">  OGI камеры и оборудование</t>
  </si>
  <si>
    <t xml:space="preserve">  Мониторинг и обследования</t>
  </si>
  <si>
    <t xml:space="preserve">  Выручка от газа</t>
  </si>
  <si>
    <t>[1.B-2] Утилизация попутного нефтяного газа (ПНГ)</t>
  </si>
  <si>
    <t>Объём сжигаемого ПНГ</t>
  </si>
  <si>
    <t>млрд м³/год</t>
  </si>
  <si>
    <t>МЭ РК, World Bank GGFR</t>
  </si>
  <si>
    <t>Уд. CAPEX ГТЭС / компрессии</t>
  </si>
  <si>
    <t>$/тыс.м³/год</t>
  </si>
  <si>
    <t>Малые ГТУ</t>
  </si>
  <si>
    <t>Выручка от электроэнергии</t>
  </si>
  <si>
    <t>Продажа в сеть</t>
  </si>
  <si>
    <t>Электрогенерация от ПНГ</t>
  </si>
  <si>
    <t xml:space="preserve">  ГТЭС и компрессорное оборудование</t>
  </si>
  <si>
    <t xml:space="preserve">  Подводящая инфраструктура</t>
  </si>
  <si>
    <t xml:space="preserve">  Выручка от электроэнергии</t>
  </si>
  <si>
    <t>[1.B-3] Дегазация угольных шахт (метан угольных пластов)</t>
  </si>
  <si>
    <t>CAPEX программы дегазации</t>
  </si>
  <si>
    <t>Караганда, 10-15 шахт</t>
  </si>
  <si>
    <t>Выручка от метана</t>
  </si>
  <si>
    <t>Генерация или продажа газа</t>
  </si>
  <si>
    <t>Выгода от продажи метана</t>
  </si>
  <si>
    <t>Оценка количества метана</t>
  </si>
  <si>
    <t xml:space="preserve">  Системы дегазации и утилизации</t>
  </si>
  <si>
    <t xml:space="preserve">  Выручка от метана</t>
  </si>
  <si>
    <t>[1.B-4] Снижение утечек в газотранспортной системе</t>
  </si>
  <si>
    <t>КазТрансГаз</t>
  </si>
  <si>
    <t>Доля подлежащих модернизации</t>
  </si>
  <si>
    <t>Замена уплотнений, КС</t>
  </si>
  <si>
    <t>Цена сэкономиленного газа</t>
  </si>
  <si>
    <t>Сэкономленный газ</t>
  </si>
  <si>
    <t xml:space="preserve">  Модернизация газопроводов и КС</t>
  </si>
  <si>
    <t xml:space="preserve">  Спутниковый мониторинг</t>
  </si>
  <si>
    <t xml:space="preserve">  ТОиР и мониторинг</t>
  </si>
  <si>
    <t xml:space="preserve">  Экономия газа</t>
  </si>
  <si>
    <t>[2-2] Снижение клинкерного фактора в цементном производстве</t>
  </si>
  <si>
    <t>Выбросы сектора 2</t>
  </si>
  <si>
    <t>Кол-во цементных заводов</t>
  </si>
  <si>
    <t>mUSD/завод</t>
  </si>
  <si>
    <t>Помольные мощности, силосы</t>
  </si>
  <si>
    <t>Стоимость добавок (зола, шлак)</t>
  </si>
  <si>
    <t>Дешёвые отходы ТЭЦ и металлургии + транспортировка</t>
  </si>
  <si>
    <t>Экономия клинкера</t>
  </si>
  <si>
    <t>$/т цемента</t>
  </si>
  <si>
    <t>Снижение обжига</t>
  </si>
  <si>
    <t>Объём цемента</t>
  </si>
  <si>
    <t>млн т/год</t>
  </si>
  <si>
    <t>Производство КЗ</t>
  </si>
  <si>
    <t xml:space="preserve">  Модернизация заводов</t>
  </si>
  <si>
    <t xml:space="preserve">  Закупка добавок</t>
  </si>
  <si>
    <t>20% замещение</t>
  </si>
  <si>
    <t xml:space="preserve">  Экономия на клинкере</t>
  </si>
  <si>
    <t>Допущение</t>
  </si>
  <si>
    <t>Мощность улавливания</t>
  </si>
  <si>
    <t>тыс. т CO₂/год</t>
  </si>
  <si>
    <t>Пилот → промышл.</t>
  </si>
  <si>
    <t>CF</t>
  </si>
  <si>
    <t>Уд. CAPEX</t>
  </si>
  <si>
    <t>TRL 6-7, первые проекты</t>
  </si>
  <si>
    <t>Уд. OPEX</t>
  </si>
  <si>
    <t>$/т CO₂</t>
  </si>
  <si>
    <t>Энергия + реагенты + хранение</t>
  </si>
  <si>
    <t xml:space="preserve">  Установки улавливания CO₂</t>
  </si>
  <si>
    <t xml:space="preserve">  Транспорт и хранение</t>
  </si>
  <si>
    <t xml:space="preserve">  Операционные затраты CCUS</t>
  </si>
  <si>
    <t>[3-1] Кормовые добавки для снижения энтеральной ферментации (CH₄)</t>
  </si>
  <si>
    <t>Выбросы сектора 3</t>
  </si>
  <si>
    <t>Поголовье КРС</t>
  </si>
  <si>
    <t>тыс. голов</t>
  </si>
  <si>
    <t>Бюро нац. статистики 2023</t>
  </si>
  <si>
    <t>Доля под программу</t>
  </si>
  <si>
    <t>Крупные хозяйства</t>
  </si>
  <si>
    <t>Стоимость добавки (3-NOP)</t>
  </si>
  <si>
    <t>$/голову/год</t>
  </si>
  <si>
    <t>DSM Bovaer</t>
  </si>
  <si>
    <t>CAPEX дозирование на голову</t>
  </si>
  <si>
    <t>$</t>
  </si>
  <si>
    <t>CAPEX обучение на хоз-во</t>
  </si>
  <si>
    <t>тыс. $</t>
  </si>
  <si>
    <t>Среднее поголовье/хоз-во</t>
  </si>
  <si>
    <t>голов</t>
  </si>
  <si>
    <t>Поголовье под программу</t>
  </si>
  <si>
    <t>Количество хозяйств</t>
  </si>
  <si>
    <t xml:space="preserve">  Оборудование дозирования</t>
  </si>
  <si>
    <t xml:space="preserve">  Обучение и внедрение</t>
  </si>
  <si>
    <t xml:space="preserve">  Закупка кормовых добавок</t>
  </si>
  <si>
    <t xml:space="preserve">  Ветеринарный мониторинг</t>
  </si>
  <si>
    <t>$5K/хоз-во/год</t>
  </si>
  <si>
    <t>[3-2] Улучшение управления навозом (биогаз)</t>
  </si>
  <si>
    <t>Кол-во биогазовых установок</t>
  </si>
  <si>
    <t>Крупные фермы</t>
  </si>
  <si>
    <t>Уд. CAPEX биогазовой установки</t>
  </si>
  <si>
    <t>500-1000 м³/сут</t>
  </si>
  <si>
    <t>Выручка от биогаза/электричества</t>
  </si>
  <si>
    <t>тыс. $/установку/год</t>
  </si>
  <si>
    <t xml:space="preserve">  Биогазовые установки</t>
  </si>
  <si>
    <t xml:space="preserve">  Покрытие лагун и инфраструктура</t>
  </si>
  <si>
    <t xml:space="preserve">  Выручка от биогаза</t>
  </si>
  <si>
    <t>[3-3] Точное земледелие (снижение N₂O от удобрений)</t>
  </si>
  <si>
    <t>Площадь под точное земледелие</t>
  </si>
  <si>
    <t>тыс. га</t>
  </si>
  <si>
    <t>Зерновой пояс</t>
  </si>
  <si>
    <t>Уд. CAPEX (GPS, датчики)</t>
  </si>
  <si>
    <t>Variable rate application</t>
  </si>
  <si>
    <t>Экономия удобрений</t>
  </si>
  <si>
    <t>$/га/год</t>
  </si>
  <si>
    <t>15-20% снижение нормы</t>
  </si>
  <si>
    <t xml:space="preserve">  GPS-навигация и датчики</t>
  </si>
  <si>
    <t xml:space="preserve">  Обучение и агрономическая поддержка</t>
  </si>
  <si>
    <t xml:space="preserve">  ТОиР оборудования</t>
  </si>
  <si>
    <t xml:space="preserve">  Экономия удобрений</t>
  </si>
  <si>
    <t>[3-4] Улучшение управления пастбищами</t>
  </si>
  <si>
    <t>Площадь восстановления</t>
  </si>
  <si>
    <t>Деградированные пастбища</t>
  </si>
  <si>
    <t>Уд. CAPEX восстановления</t>
  </si>
  <si>
    <t>Подсев, огораживание</t>
  </si>
  <si>
    <t>Экономия кормов</t>
  </si>
  <si>
    <t>Повышение продуктивности</t>
  </si>
  <si>
    <t xml:space="preserve">  Восстановление пастбищ</t>
  </si>
  <si>
    <t xml:space="preserve">  Инфраструктура ротационного выпаса</t>
  </si>
  <si>
    <t xml:space="preserve">  Поддержание пастбищ</t>
  </si>
  <si>
    <t xml:space="preserve">  Экономия кормов</t>
  </si>
  <si>
    <t>[5-1] Улавливание и утилизация свалочного газа (LFG)</t>
  </si>
  <si>
    <t>Выбросы сектора 5</t>
  </si>
  <si>
    <t>Кол-во полигонов под дегазацию</t>
  </si>
  <si>
    <t>Крупные города</t>
  </si>
  <si>
    <t>Уд. CAPEX системы дегазации</t>
  </si>
  <si>
    <t>mUSD/полигон</t>
  </si>
  <si>
    <t>mUSD/полигон/год</t>
  </si>
  <si>
    <t>Генерация на свалочном газе</t>
  </si>
  <si>
    <t>Цена энергии</t>
  </si>
  <si>
    <t>Уд. CAPEX генераторов</t>
  </si>
  <si>
    <t>Мощности генераторов</t>
  </si>
  <si>
    <t>Генерация электроэнергии</t>
  </si>
  <si>
    <t>МВтч</t>
  </si>
  <si>
    <t xml:space="preserve">  Системы дегазации</t>
  </si>
  <si>
    <t xml:space="preserve">  Газопоршневые генераторы</t>
  </si>
  <si>
    <t>[5-3] Модернизация очистных сооружений (снижение CH₄)</t>
  </si>
  <si>
    <t>Кол-во КОС под модернизацию</t>
  </si>
  <si>
    <t>mUSD/шт</t>
  </si>
  <si>
    <t>Аэробная обработка + биогаз</t>
  </si>
  <si>
    <t>Экономия энергии от биогаза</t>
  </si>
  <si>
    <t>mUSD/шт/год</t>
  </si>
  <si>
    <t xml:space="preserve">  Модернизация КОС</t>
  </si>
  <si>
    <t xml:space="preserve">  Экономия от биогаза</t>
  </si>
  <si>
    <t>[4-1] Лесонасаждение (афорестация и лесовосстановление)</t>
  </si>
  <si>
    <t>Выбросы/поглощение сектора LULUCF (нетто)</t>
  </si>
  <si>
    <t>BTR1 2022. Нетто-источник (поглотитель −4.8 Mt в 1990)</t>
  </si>
  <si>
    <t>Целевая площадь посадок</t>
  </si>
  <si>
    <t>Программа «2 млрд деревьев», ~2000 шт/га</t>
  </si>
  <si>
    <t>Доля выживаемости</t>
  </si>
  <si>
    <t>Засушливые условия, степь. Исторически 50-80% в КЗ</t>
  </si>
  <si>
    <t>Уд. секвестрация (молодые посадки, 10-30 лет)</t>
  </si>
  <si>
    <t>tCO₂/га/год</t>
  </si>
  <si>
    <t>IPCC 2006, Vol.4, табл.4.12. Temperate continental dry: 2-4</t>
  </si>
  <si>
    <t>Уд. CAPEX: саженцы, подготовка почвы, посадка</t>
  </si>
  <si>
    <t>Уд. OPEX: уход, защита, противопожарная</t>
  </si>
  <si>
    <t>Полив первые 3-5 лет, подсадка, охрана</t>
  </si>
  <si>
    <t>Срок проекта</t>
  </si>
  <si>
    <t>Лесные проекты: 30-50 лет</t>
  </si>
  <si>
    <t>РАСЧЁТ ПОГЛОЩЕНИЯ</t>
  </si>
  <si>
    <t>Эффективная площадь (с учётом выживаемости)</t>
  </si>
  <si>
    <t>Секвестрация CO₂ (поглощение)</t>
  </si>
  <si>
    <t>kt CO₂/год</t>
  </si>
  <si>
    <t>Отрицательные выбросы (negative emissions)</t>
  </si>
  <si>
    <t xml:space="preserve">  Саженцы, подготовка почвы, посадка</t>
  </si>
  <si>
    <t xml:space="preserve">  Питомники и логистика</t>
  </si>
  <si>
    <t>10% от основного CAPEX</t>
  </si>
  <si>
    <t>OPEX (mUSD/год)</t>
  </si>
  <si>
    <t xml:space="preserve">  Уход, полив, противопожарная защита</t>
  </si>
  <si>
    <t xml:space="preserve">  Мониторинг и верификация секвестрации</t>
  </si>
  <si>
    <t>0.5% от CAPEX, ежегодно</t>
  </si>
  <si>
    <t>Секвестрация (поглощение CO₂)</t>
  </si>
  <si>
    <t>FAO Forestry, адаптировано для КЗ + полив</t>
  </si>
  <si>
    <t>CCS в металлургии и цементе</t>
  </si>
  <si>
    <t>[2-3] CCS в металлургии и цементе</t>
  </si>
  <si>
    <t>Выбросы сектора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</si>
</sst>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#,##0.0"/>
    <numFmt numFmtId="166" formatCode="\+0.0%;\-0.0%"/>
    <numFmt numFmtId="167" formatCode="#,##0.000"/>
    <numFmt numFmtId="168" formatCode="0.000"/>
    <numFmt numFmtId="169" formatCode="0.0"/>
    <numFmt numFmtId="170" formatCode="_(* #,##0.00_);_(* \(#,##0.00\);_(* \-??_);_(@_)"/>
    <numFmt numFmtId="171" formatCode="_-* #,##0.00_-;\-* #,##0.00_-;_-* \-??_-;_-@_-"/>
  </numFmts>
  <fonts count="34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sz val="10"/>
      <color rgb="FF374151"/>
      <name val="Arial"/>
      <family val="2"/>
      <charset val="204"/>
    </font>
    <font>
      <sz val="10"/>
      <color rgb="FF0000FF"/>
      <name val="Arial"/>
      <family val="2"/>
      <charset val="204"/>
    </font>
    <font>
      <sz val="8"/>
      <color rgb="FF9CA3A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374151"/>
      <name val="Arial"/>
      <charset val="1"/>
    </font>
    <font>
      <b/>
      <sz val="10"/>
      <color rgb="FF111827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9CA3AF"/>
      <name val="Arial"/>
      <charset val="1"/>
    </font>
    <font>
      <b/>
      <sz val="14"/>
      <name val="Arial"/>
      <charset val="1"/>
    </font>
    <font>
      <sz val="8"/>
      <color rgb="FF9CA3AF"/>
      <name val="Arial"/>
      <charset val="1"/>
    </font>
    <font>
      <b/>
      <sz val="9"/>
      <color rgb="FFFFFFFF"/>
      <name val="Arial"/>
      <charset val="1"/>
    </font>
    <font>
      <b/>
      <sz val="10"/>
      <color rgb="FF1A56DB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52C41A"/>
      <name val="Arial"/>
      <charset val="1"/>
    </font>
    <font>
      <b/>
      <sz val="10"/>
      <color rgb="FF374151"/>
      <name val="Arial"/>
      <charset val="1"/>
    </font>
    <font>
      <sz val="10"/>
      <color rgb="FFD4380D"/>
      <name val="Arial"/>
      <charset val="1"/>
    </font>
    <font>
      <sz val="9"/>
      <color rgb="FF9CA3AF"/>
      <name val="Arial"/>
      <charset val="1"/>
    </font>
    <font>
      <b/>
      <sz val="14"/>
      <name val="Arial"/>
      <family val="2"/>
      <charset val="204"/>
    </font>
    <font>
      <b/>
      <sz val="11"/>
      <color rgb="FF1A56DB"/>
      <name val="Arial"/>
      <family val="2"/>
      <charset val="204"/>
    </font>
    <font>
      <b/>
      <sz val="10"/>
      <color rgb="FF374151"/>
      <name val="Arial"/>
      <family val="2"/>
      <charset val="204"/>
    </font>
    <font>
      <sz val="9"/>
      <color rgb="FF6B7280"/>
      <name val="Arial"/>
      <family val="2"/>
      <charset val="204"/>
    </font>
    <font>
      <sz val="10"/>
      <name val="Arial"/>
      <family val="2"/>
      <charset val="204"/>
    </font>
    <font>
      <sz val="10"/>
      <color rgb="FF008000"/>
      <name val="Arial"/>
      <charset val="1"/>
    </font>
    <font>
      <sz val="10"/>
      <color theme="0" tint="-0.249977111117893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0"/>
      <name val="Calibri"/>
      <family val="2"/>
      <charset val="1"/>
    </font>
    <font>
      <b/>
      <sz val="11"/>
      <color rgb="FF1A56DB"/>
      <name val="Arial"/>
      <charset val="1"/>
    </font>
    <font>
      <sz val="9"/>
      <color rgb="FF6B7280"/>
      <name val="Arial"/>
      <charset val="1"/>
    </font>
    <font>
      <b/>
      <sz val="10"/>
      <color rgb="FF0000FF"/>
      <name val="Arial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9DB"/>
        <bgColor rgb="FFFDEADA"/>
      </patternFill>
    </fill>
    <fill>
      <patternFill patternType="solid">
        <fgColor rgb="FF1F2937"/>
        <bgColor rgb="FF111827"/>
      </patternFill>
    </fill>
    <fill>
      <patternFill patternType="solid">
        <fgColor rgb="FFDBEAFE"/>
        <bgColor rgb="FFEBF5FF"/>
      </patternFill>
    </fill>
    <fill>
      <patternFill patternType="solid">
        <fgColor rgb="FFF3F4F6"/>
        <bgColor rgb="FFEBF5FF"/>
      </patternFill>
    </fill>
    <fill>
      <patternFill patternType="solid">
        <fgColor theme="6" tint="0.79989013336588644"/>
        <bgColor rgb="FFF3F4F6"/>
      </patternFill>
    </fill>
    <fill>
      <patternFill patternType="solid">
        <fgColor rgb="FFEBF5FF"/>
        <bgColor rgb="FFF3F4F6"/>
      </patternFill>
    </fill>
    <fill>
      <patternFill patternType="solid">
        <fgColor theme="9" tint="0.79989013336588644"/>
        <bgColor rgb="FFEBF1DE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D4380D"/>
      </patternFill>
    </fill>
  </fills>
  <borders count="3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medium">
        <color rgb="FF374151"/>
      </bottom>
      <diagonal/>
    </border>
  </borders>
  <cellStyleXfs count="3">
    <xf numFmtId="0" fontId="0" fillId="0" borderId="0"/>
    <xf numFmtId="170" fontId="33" fillId="0" borderId="0"/>
    <xf numFmtId="9" fontId="33" fillId="0" borderId="0"/>
  </cellStyleXfs>
  <cellXfs count="116">
    <xf numFmtId="0" fontId="0" fillId="0" borderId="0" xfId="0"/>
    <xf numFmtId="0" fontId="30" fillId="4" borderId="0" xfId="0" applyFont="1" applyFill="1" applyBorder="1"/>
    <xf numFmtId="0" fontId="22" fillId="4" borderId="0" xfId="0" applyFont="1" applyFill="1" applyBorder="1"/>
    <xf numFmtId="0" fontId="12" fillId="0" borderId="0" xfId="0" applyFont="1" applyBorder="1"/>
    <xf numFmtId="0" fontId="11" fillId="0" borderId="0" xfId="0" applyFont="1" applyBorder="1"/>
    <xf numFmtId="0" fontId="0" fillId="0" borderId="0" xfId="0" applyFont="1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/>
    <xf numFmtId="165" fontId="3" fillId="2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0" fillId="0" borderId="0" xfId="0" applyNumberFormat="1" applyFont="1"/>
    <xf numFmtId="1" fontId="0" fillId="0" borderId="0" xfId="0" applyNumberFormat="1" applyFont="1"/>
    <xf numFmtId="3" fontId="0" fillId="0" borderId="0" xfId="0" applyNumberFormat="1" applyFont="1"/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165" fontId="7" fillId="0" borderId="0" xfId="0" applyNumberFormat="1" applyFont="1"/>
    <xf numFmtId="0" fontId="0" fillId="3" borderId="0" xfId="0" applyFont="1" applyFill="1"/>
    <xf numFmtId="0" fontId="8" fillId="3" borderId="0" xfId="0" applyFont="1" applyFill="1" applyAlignment="1">
      <alignment horizontal="left"/>
    </xf>
    <xf numFmtId="3" fontId="9" fillId="2" borderId="0" xfId="0" applyNumberFormat="1" applyFont="1" applyFill="1" applyAlignment="1">
      <alignment horizontal="center"/>
    </xf>
    <xf numFmtId="0" fontId="10" fillId="0" borderId="0" xfId="0" applyFont="1"/>
    <xf numFmtId="2" fontId="9" fillId="2" borderId="0" xfId="0" applyNumberFormat="1" applyFont="1" applyFill="1" applyAlignment="1">
      <alignment horizontal="center"/>
    </xf>
    <xf numFmtId="0" fontId="12" fillId="0" borderId="0" xfId="0" applyFont="1"/>
    <xf numFmtId="0" fontId="13" fillId="3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/>
    </xf>
    <xf numFmtId="0" fontId="14" fillId="4" borderId="0" xfId="0" applyFont="1" applyFill="1"/>
    <xf numFmtId="165" fontId="15" fillId="4" borderId="0" xfId="0" applyNumberFormat="1" applyFont="1" applyFill="1" applyAlignment="1">
      <alignment horizontal="right"/>
    </xf>
    <xf numFmtId="164" fontId="16" fillId="4" borderId="0" xfId="0" applyNumberFormat="1" applyFont="1" applyFill="1" applyAlignment="1">
      <alignment horizontal="right"/>
    </xf>
    <xf numFmtId="165" fontId="16" fillId="4" borderId="0" xfId="0" applyNumberFormat="1" applyFont="1" applyFill="1" applyAlignment="1">
      <alignment horizontal="right"/>
    </xf>
    <xf numFmtId="166" fontId="17" fillId="4" borderId="0" xfId="0" applyNumberFormat="1" applyFont="1" applyFill="1" applyAlignment="1">
      <alignment horizontal="right"/>
    </xf>
    <xf numFmtId="0" fontId="12" fillId="4" borderId="0" xfId="0" applyFont="1" applyFill="1"/>
    <xf numFmtId="0" fontId="16" fillId="5" borderId="0" xfId="0" applyFont="1" applyFill="1" applyAlignment="1">
      <alignment horizontal="left"/>
    </xf>
    <xf numFmtId="0" fontId="18" fillId="5" borderId="0" xfId="0" applyFont="1" applyFill="1"/>
    <xf numFmtId="165" fontId="16" fillId="5" borderId="0" xfId="0" applyNumberFormat="1" applyFont="1" applyFill="1" applyAlignment="1">
      <alignment horizontal="right"/>
    </xf>
    <xf numFmtId="164" fontId="16" fillId="5" borderId="0" xfId="0" applyNumberFormat="1" applyFont="1" applyFill="1" applyAlignment="1">
      <alignment horizontal="right"/>
    </xf>
    <xf numFmtId="166" fontId="17" fillId="5" borderId="0" xfId="0" applyNumberFormat="1" applyFont="1" applyFill="1" applyAlignment="1">
      <alignment horizontal="right"/>
    </xf>
    <xf numFmtId="0" fontId="12" fillId="5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 applyAlignment="1">
      <alignment indent="1"/>
    </xf>
    <xf numFmtId="165" fontId="16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right"/>
    </xf>
    <xf numFmtId="166" fontId="19" fillId="0" borderId="0" xfId="0" applyNumberFormat="1" applyFont="1" applyAlignment="1">
      <alignment horizontal="right"/>
    </xf>
    <xf numFmtId="166" fontId="19" fillId="4" borderId="0" xfId="0" applyNumberFormat="1" applyFont="1" applyFill="1" applyAlignment="1">
      <alignment horizontal="right"/>
    </xf>
    <xf numFmtId="0" fontId="0" fillId="4" borderId="0" xfId="0" applyFont="1" applyFill="1"/>
    <xf numFmtId="0" fontId="20" fillId="4" borderId="0" xfId="0" applyFont="1" applyFill="1"/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165" fontId="15" fillId="0" borderId="1" xfId="0" applyNumberFormat="1" applyFont="1" applyBorder="1" applyAlignment="1">
      <alignment horizontal="right"/>
    </xf>
    <xf numFmtId="164" fontId="15" fillId="0" borderId="1" xfId="0" applyNumberFormat="1" applyFont="1" applyBorder="1"/>
    <xf numFmtId="165" fontId="16" fillId="0" borderId="1" xfId="0" applyNumberFormat="1" applyFont="1" applyBorder="1" applyAlignment="1">
      <alignment horizontal="right"/>
    </xf>
    <xf numFmtId="166" fontId="17" fillId="0" borderId="1" xfId="0" applyNumberFormat="1" applyFont="1" applyBorder="1" applyAlignment="1">
      <alignment horizontal="right"/>
    </xf>
    <xf numFmtId="0" fontId="12" fillId="0" borderId="1" xfId="0" applyFont="1" applyBorder="1"/>
    <xf numFmtId="0" fontId="0" fillId="0" borderId="1" xfId="0" applyFont="1" applyBorder="1"/>
    <xf numFmtId="0" fontId="15" fillId="0" borderId="0" xfId="0" applyFont="1"/>
    <xf numFmtId="0" fontId="21" fillId="0" borderId="0" xfId="0" applyFont="1"/>
    <xf numFmtId="0" fontId="0" fillId="6" borderId="0" xfId="0" applyFont="1" applyFill="1"/>
    <xf numFmtId="0" fontId="0" fillId="5" borderId="0" xfId="0" applyFont="1" applyFill="1"/>
    <xf numFmtId="0" fontId="23" fillId="5" borderId="0" xfId="0" applyFont="1" applyFill="1"/>
    <xf numFmtId="165" fontId="3" fillId="0" borderId="0" xfId="0" applyNumberFormat="1" applyFont="1"/>
    <xf numFmtId="0" fontId="24" fillId="0" borderId="0" xfId="0" applyFont="1"/>
    <xf numFmtId="4" fontId="25" fillId="0" borderId="0" xfId="0" applyNumberFormat="1" applyFont="1"/>
    <xf numFmtId="3" fontId="26" fillId="2" borderId="0" xfId="0" applyNumberFormat="1" applyFont="1" applyFill="1"/>
    <xf numFmtId="2" fontId="3" fillId="2" borderId="0" xfId="0" applyNumberFormat="1" applyFont="1" applyFill="1"/>
    <xf numFmtId="2" fontId="26" fillId="2" borderId="0" xfId="0" applyNumberFormat="1" applyFont="1" applyFill="1"/>
    <xf numFmtId="1" fontId="3" fillId="2" borderId="0" xfId="0" applyNumberFormat="1" applyFont="1" applyFill="1"/>
    <xf numFmtId="3" fontId="25" fillId="0" borderId="0" xfId="0" applyNumberFormat="1" applyFont="1"/>
    <xf numFmtId="3" fontId="3" fillId="2" borderId="0" xfId="0" applyNumberFormat="1" applyFont="1" applyFill="1"/>
    <xf numFmtId="165" fontId="25" fillId="0" borderId="0" xfId="0" applyNumberFormat="1" applyFont="1"/>
    <xf numFmtId="0" fontId="0" fillId="0" borderId="2" xfId="0" applyFont="1" applyBorder="1"/>
    <xf numFmtId="0" fontId="1" fillId="0" borderId="2" xfId="0" applyFont="1" applyBorder="1"/>
    <xf numFmtId="165" fontId="1" fillId="0" borderId="2" xfId="0" applyNumberFormat="1" applyFont="1" applyBorder="1"/>
    <xf numFmtId="9" fontId="27" fillId="0" borderId="0" xfId="2" applyFont="1"/>
    <xf numFmtId="165" fontId="27" fillId="0" borderId="0" xfId="0" applyNumberFormat="1" applyFont="1"/>
    <xf numFmtId="0" fontId="28" fillId="7" borderId="0" xfId="0" applyFont="1" applyFill="1"/>
    <xf numFmtId="165" fontId="28" fillId="7" borderId="0" xfId="0" applyNumberFormat="1" applyFont="1" applyFill="1"/>
    <xf numFmtId="1" fontId="28" fillId="7" borderId="0" xfId="0" applyNumberFormat="1" applyFont="1" applyFill="1"/>
    <xf numFmtId="3" fontId="28" fillId="7" borderId="0" xfId="0" applyNumberFormat="1" applyFont="1" applyFill="1"/>
    <xf numFmtId="164" fontId="3" fillId="0" borderId="0" xfId="0" applyNumberFormat="1" applyFont="1"/>
    <xf numFmtId="4" fontId="26" fillId="2" borderId="0" xfId="0" applyNumberFormat="1" applyFont="1" applyFill="1"/>
    <xf numFmtId="3" fontId="25" fillId="8" borderId="0" xfId="0" applyNumberFormat="1" applyFont="1" applyFill="1"/>
    <xf numFmtId="0" fontId="23" fillId="0" borderId="0" xfId="0" applyFont="1"/>
    <xf numFmtId="167" fontId="3" fillId="2" borderId="0" xfId="0" applyNumberFormat="1" applyFont="1" applyFill="1"/>
    <xf numFmtId="1" fontId="3" fillId="0" borderId="0" xfId="0" applyNumberFormat="1" applyFont="1"/>
    <xf numFmtId="168" fontId="0" fillId="0" borderId="0" xfId="0" applyNumberFormat="1" applyFont="1"/>
    <xf numFmtId="4" fontId="3" fillId="2" borderId="0" xfId="0" applyNumberFormat="1" applyFont="1" applyFill="1"/>
    <xf numFmtId="169" fontId="3" fillId="0" borderId="0" xfId="0" applyNumberFormat="1" applyFont="1"/>
    <xf numFmtId="9" fontId="0" fillId="8" borderId="0" xfId="2" applyFont="1" applyFill="1"/>
    <xf numFmtId="169" fontId="3" fillId="2" borderId="0" xfId="0" applyNumberFormat="1" applyFont="1" applyFill="1"/>
    <xf numFmtId="9" fontId="0" fillId="0" borderId="0" xfId="0" applyNumberFormat="1" applyFont="1"/>
    <xf numFmtId="9" fontId="3" fillId="2" borderId="0" xfId="2" applyFont="1" applyFill="1"/>
    <xf numFmtId="171" fontId="0" fillId="0" borderId="0" xfId="1" applyNumberFormat="1" applyFont="1"/>
    <xf numFmtId="3" fontId="3" fillId="0" borderId="0" xfId="0" applyNumberFormat="1" applyFont="1"/>
    <xf numFmtId="0" fontId="2" fillId="0" borderId="0" xfId="0" applyFont="1" applyAlignment="1">
      <alignment horizontal="left" indent="1"/>
    </xf>
    <xf numFmtId="169" fontId="26" fillId="2" borderId="0" xfId="0" applyNumberFormat="1" applyFont="1" applyFill="1"/>
    <xf numFmtId="0" fontId="0" fillId="9" borderId="0" xfId="0" applyFont="1" applyFill="1"/>
    <xf numFmtId="2" fontId="0" fillId="0" borderId="0" xfId="0" applyNumberFormat="1" applyFont="1"/>
    <xf numFmtId="0" fontId="29" fillId="10" borderId="0" xfId="0" applyFont="1" applyFill="1"/>
    <xf numFmtId="4" fontId="9" fillId="0" borderId="0" xfId="0" applyNumberFormat="1" applyFont="1"/>
    <xf numFmtId="0" fontId="31" fillId="0" borderId="0" xfId="0" applyFont="1"/>
    <xf numFmtId="3" fontId="9" fillId="2" borderId="0" xfId="0" applyNumberFormat="1" applyFont="1" applyFill="1"/>
    <xf numFmtId="164" fontId="9" fillId="2" borderId="0" xfId="0" applyNumberFormat="1" applyFont="1" applyFill="1"/>
    <xf numFmtId="169" fontId="9" fillId="2" borderId="0" xfId="0" applyNumberFormat="1" applyFont="1" applyFill="1"/>
    <xf numFmtId="1" fontId="9" fillId="2" borderId="0" xfId="0" applyNumberFormat="1" applyFont="1" applyFill="1"/>
    <xf numFmtId="3" fontId="16" fillId="0" borderId="0" xfId="0" applyNumberFormat="1" applyFont="1"/>
    <xf numFmtId="165" fontId="16" fillId="0" borderId="0" xfId="0" applyNumberFormat="1" applyFont="1"/>
    <xf numFmtId="0" fontId="15" fillId="0" borderId="2" xfId="0" applyFont="1" applyBorder="1"/>
    <xf numFmtId="165" fontId="15" fillId="0" borderId="2" xfId="0" applyNumberFormat="1" applyFont="1" applyBorder="1"/>
    <xf numFmtId="0" fontId="32" fillId="7" borderId="0" xfId="0" applyFont="1" applyFill="1"/>
    <xf numFmtId="165" fontId="32" fillId="7" borderId="0" xfId="0" applyNumberFormat="1" applyFont="1" applyFill="1"/>
    <xf numFmtId="1" fontId="32" fillId="7" borderId="0" xfId="0" applyNumberFormat="1" applyFont="1" applyFill="1"/>
    <xf numFmtId="3" fontId="32" fillId="7" borderId="0" xfId="0" applyNumberFormat="1" applyFont="1" applyFill="1"/>
    <xf numFmtId="3" fontId="0" fillId="0" borderId="0" xfId="0" applyNumberFormat="1" applyFont="1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BEAFE"/>
      <rgbColor rgb="FF660066"/>
      <rgbColor rgb="FFFF8080"/>
      <rgbColor rgb="FF1A56DB"/>
      <rgbColor rgb="FFF3F4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F"/>
      <rgbColor rgb="FFEBF1DE"/>
      <rgbColor rgb="FFFDEADA"/>
      <rgbColor rgb="FF99CCFF"/>
      <rgbColor rgb="FFFF99CC"/>
      <rgbColor rgb="FFCC99FF"/>
      <rgbColor rgb="FFFFCC99"/>
      <rgbColor rgb="FF3366FF"/>
      <rgbColor rgb="FF33CCCC"/>
      <rgbColor rgb="FF52C41A"/>
      <rgbColor rgb="FFFFC000"/>
      <rgbColor rgb="FFFF9900"/>
      <rgbColor rgb="FFFF6600"/>
      <rgbColor rgb="FF6B7280"/>
      <rgbColor rgb="FF9CA3AF"/>
      <rgbColor rgb="FF003366"/>
      <rgbColor rgb="FF339966"/>
      <rgbColor rgb="FF111827"/>
      <rgbColor rgb="FF333300"/>
      <rgbColor rgb="FFD4380D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zoomScaleNormal="100" workbookViewId="0">
      <pane ySplit="5" topLeftCell="A6" activePane="bottomLeft" state="frozen"/>
      <selection pane="bottomLeft" activeCell="K25" sqref="A25:K31"/>
    </sheetView>
  </sheetViews>
  <sheetFormatPr defaultColWidth="8.54296875" defaultRowHeight="14.5" x14ac:dyDescent="0.35"/>
  <cols>
    <col min="1" max="1" width="16.54296875" style="5" customWidth="1"/>
    <col min="2" max="2" width="11" style="5" customWidth="1"/>
    <col min="3" max="3" width="6" style="5" customWidth="1"/>
    <col min="4" max="4" width="70.26953125" style="5" customWidth="1"/>
    <col min="5" max="6" width="14" style="5" customWidth="1"/>
    <col min="7" max="7" width="28" style="5" customWidth="1"/>
    <col min="8" max="10" width="14" style="5" customWidth="1"/>
    <col min="11" max="11" width="12" style="5" customWidth="1"/>
  </cols>
  <sheetData>
    <row r="1" spans="1:11" ht="15" customHeight="1" x14ac:dyDescent="0.35">
      <c r="A1" s="6" t="s">
        <v>0</v>
      </c>
      <c r="B1" s="6"/>
    </row>
    <row r="2" spans="1:11" ht="15" customHeight="1" x14ac:dyDescent="0.35">
      <c r="A2" s="7" t="s">
        <v>1</v>
      </c>
      <c r="B2" s="7"/>
      <c r="C2" s="8">
        <v>0.12</v>
      </c>
      <c r="D2" s="9" t="s">
        <v>2</v>
      </c>
    </row>
    <row r="3" spans="1:11" ht="15" customHeight="1" x14ac:dyDescent="0.35">
      <c r="A3" s="7" t="s">
        <v>3</v>
      </c>
      <c r="B3" s="7"/>
      <c r="C3" s="10">
        <f>Выбросы!C33</f>
        <v>353</v>
      </c>
      <c r="D3" s="9" t="s">
        <v>4</v>
      </c>
    </row>
    <row r="5" spans="1:11" ht="36" customHeight="1" x14ac:dyDescent="0.3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</row>
    <row r="6" spans="1:11" ht="15" customHeight="1" x14ac:dyDescent="0.35">
      <c r="A6" s="7" t="s">
        <v>16</v>
      </c>
      <c r="B6" s="7">
        <v>22</v>
      </c>
      <c r="C6" s="12">
        <v>5</v>
      </c>
      <c r="D6" s="7" t="s">
        <v>17</v>
      </c>
      <c r="E6" s="13">
        <f>Расчёты!C670</f>
        <v>180</v>
      </c>
      <c r="F6" s="13">
        <f>Расчёты!C671</f>
        <v>-66</v>
      </c>
      <c r="G6" s="14">
        <f>Расчёты!C672</f>
        <v>10</v>
      </c>
      <c r="H6" s="15">
        <f>Расчёты!C673</f>
        <v>4280</v>
      </c>
      <c r="I6" s="13">
        <f t="shared" ref="I6:I31" si="0">E6-PV($C$2,G6,F6)</f>
        <v>-192.91471987511721</v>
      </c>
      <c r="J6" s="15">
        <f t="shared" ref="J6:J31" si="1">-PV($C$2,G6,H6)</f>
        <v>24182.954561598515</v>
      </c>
      <c r="K6" s="13">
        <f t="shared" ref="K6:K32" si="2">IF(J6=0,0,I6/J6*1000)</f>
        <v>-7.9773015072962767</v>
      </c>
    </row>
    <row r="7" spans="1:11" ht="15" customHeight="1" x14ac:dyDescent="0.35">
      <c r="A7" s="7" t="s">
        <v>16</v>
      </c>
      <c r="B7" s="7">
        <v>23</v>
      </c>
      <c r="C7" s="12">
        <v>6</v>
      </c>
      <c r="D7" s="7" t="s">
        <v>18</v>
      </c>
      <c r="E7" s="13">
        <f>Расчёты!C694</f>
        <v>230</v>
      </c>
      <c r="F7" s="13">
        <f>Расчёты!C695</f>
        <v>-45.4</v>
      </c>
      <c r="G7" s="14">
        <f>Расчёты!C696</f>
        <v>20</v>
      </c>
      <c r="H7" s="15">
        <f>Расчёты!C697</f>
        <v>2140</v>
      </c>
      <c r="I7" s="13">
        <f t="shared" si="0"/>
        <v>-109.1127405444729</v>
      </c>
      <c r="J7" s="15">
        <f t="shared" si="1"/>
        <v>15984.609356061057</v>
      </c>
      <c r="K7" s="13">
        <f t="shared" si="2"/>
        <v>-6.8261124256439487</v>
      </c>
    </row>
    <row r="8" spans="1:11" ht="15" customHeight="1" x14ac:dyDescent="0.35">
      <c r="A8" s="7" t="s">
        <v>19</v>
      </c>
      <c r="B8" s="7">
        <v>15</v>
      </c>
      <c r="C8" s="12">
        <v>2</v>
      </c>
      <c r="D8" s="7" t="s">
        <v>20</v>
      </c>
      <c r="E8" s="13">
        <f>Расчёты!C494</f>
        <v>1875</v>
      </c>
      <c r="F8" s="13">
        <f>Расчёты!C495</f>
        <v>-277.08333333333337</v>
      </c>
      <c r="G8" s="14">
        <f>Расчёты!C496</f>
        <v>20</v>
      </c>
      <c r="H8" s="15">
        <f>Расчёты!C497</f>
        <v>6840.0000000000009</v>
      </c>
      <c r="I8" s="13">
        <f t="shared" si="0"/>
        <v>-194.65833757410519</v>
      </c>
      <c r="J8" s="15">
        <f t="shared" si="1"/>
        <v>51090.994390400774</v>
      </c>
      <c r="K8" s="13">
        <f t="shared" si="2"/>
        <v>-3.8100322747031625</v>
      </c>
    </row>
    <row r="9" spans="1:11" ht="15" customHeight="1" x14ac:dyDescent="0.35">
      <c r="A9" s="7" t="s">
        <v>21</v>
      </c>
      <c r="B9" s="7">
        <v>8</v>
      </c>
      <c r="C9" s="12">
        <v>8</v>
      </c>
      <c r="D9" s="7" t="s">
        <v>22</v>
      </c>
      <c r="E9" s="13">
        <f>Расчёты!C130</f>
        <v>-695.71428571428601</v>
      </c>
      <c r="F9" s="13">
        <f>Расчёты!C131</f>
        <v>76.667581211900526</v>
      </c>
      <c r="G9" s="14">
        <f>Расчёты!C132</f>
        <v>25</v>
      </c>
      <c r="H9" s="115">
        <f>Расчёты!C133</f>
        <v>4029.6</v>
      </c>
      <c r="I9" s="13">
        <f t="shared" si="0"/>
        <v>-94.399780883843505</v>
      </c>
      <c r="J9" s="15">
        <f t="shared" si="1"/>
        <v>31604.713365975324</v>
      </c>
      <c r="K9" s="13">
        <f t="shared" si="2"/>
        <v>-2.9868893221943105</v>
      </c>
    </row>
    <row r="10" spans="1:11" ht="15" customHeight="1" x14ac:dyDescent="0.35">
      <c r="A10" s="7" t="s">
        <v>19</v>
      </c>
      <c r="B10" s="7">
        <v>14</v>
      </c>
      <c r="C10" s="12">
        <v>1</v>
      </c>
      <c r="D10" s="7" t="s">
        <v>23</v>
      </c>
      <c r="E10" s="13">
        <f>Расчёты!C469</f>
        <v>55</v>
      </c>
      <c r="F10" s="13">
        <f>Расчёты!C470</f>
        <v>2.5</v>
      </c>
      <c r="G10" s="14">
        <f>Расчёты!C471</f>
        <v>10</v>
      </c>
      <c r="H10" s="115">
        <f>Расчёты!C472</f>
        <v>8550</v>
      </c>
      <c r="I10" s="13">
        <f t="shared" si="0"/>
        <v>69.125557571027173</v>
      </c>
      <c r="J10" s="15">
        <f t="shared" si="1"/>
        <v>48309.406892912913</v>
      </c>
      <c r="K10" s="13">
        <f t="shared" si="2"/>
        <v>1.4308922840691722</v>
      </c>
    </row>
    <row r="11" spans="1:11" ht="15" customHeight="1" x14ac:dyDescent="0.35">
      <c r="A11" s="7" t="s">
        <v>16</v>
      </c>
      <c r="B11" s="7">
        <v>21</v>
      </c>
      <c r="C11" s="12">
        <v>4</v>
      </c>
      <c r="D11" s="7" t="s">
        <v>24</v>
      </c>
      <c r="E11" s="13">
        <f>Расчёты!C646</f>
        <v>300</v>
      </c>
      <c r="F11" s="13">
        <f>Расчёты!C647</f>
        <v>-13</v>
      </c>
      <c r="G11" s="14">
        <f>Расчёты!C648</f>
        <v>15</v>
      </c>
      <c r="H11" s="115">
        <f>Расчёты!C649</f>
        <v>3424</v>
      </c>
      <c r="I11" s="13">
        <f t="shared" si="0"/>
        <v>211.45876163695493</v>
      </c>
      <c r="J11" s="15">
        <f t="shared" si="1"/>
        <v>23320.400011928181</v>
      </c>
      <c r="K11" s="13">
        <f t="shared" si="2"/>
        <v>9.067544361537351</v>
      </c>
    </row>
    <row r="12" spans="1:11" ht="15" customHeight="1" x14ac:dyDescent="0.35">
      <c r="A12" s="7" t="s">
        <v>25</v>
      </c>
      <c r="B12" s="7">
        <v>26</v>
      </c>
      <c r="C12" s="12">
        <v>1</v>
      </c>
      <c r="D12" s="7" t="s">
        <v>26</v>
      </c>
      <c r="E12" s="13">
        <f>Расчёты!C745</f>
        <v>150</v>
      </c>
      <c r="F12" s="13">
        <f>Расчёты!C746</f>
        <v>-10.5</v>
      </c>
      <c r="G12" s="14">
        <f>Расчёты!C747</f>
        <v>25</v>
      </c>
      <c r="H12" s="115">
        <f>Расчёты!C748</f>
        <v>320.00000000000006</v>
      </c>
      <c r="I12" s="13">
        <f t="shared" si="0"/>
        <v>67.64703932332219</v>
      </c>
      <c r="J12" s="15">
        <f t="shared" si="1"/>
        <v>2509.8045158606578</v>
      </c>
      <c r="K12" s="13">
        <f t="shared" si="2"/>
        <v>26.953110848206752</v>
      </c>
    </row>
    <row r="13" spans="1:11" ht="15" customHeight="1" x14ac:dyDescent="0.35">
      <c r="A13" s="7" t="s">
        <v>27</v>
      </c>
      <c r="B13" s="7">
        <v>11</v>
      </c>
      <c r="C13" s="12">
        <v>1</v>
      </c>
      <c r="D13" s="7" t="s">
        <v>28</v>
      </c>
      <c r="E13" s="13">
        <f>Расчёты!C373</f>
        <v>10800</v>
      </c>
      <c r="F13" s="13">
        <f>Расчёты!C374</f>
        <v>-769.26724137931035</v>
      </c>
      <c r="G13" s="14">
        <f>Расчёты!C375</f>
        <v>30</v>
      </c>
      <c r="H13" s="115">
        <f>Расчёты!C376</f>
        <v>9217.241379310346</v>
      </c>
      <c r="I13" s="13">
        <f t="shared" si="0"/>
        <v>4603.4108503896805</v>
      </c>
      <c r="J13" s="15">
        <f t="shared" si="1"/>
        <v>74246.574984740902</v>
      </c>
      <c r="K13" s="13">
        <f t="shared" si="2"/>
        <v>62.001659353792007</v>
      </c>
    </row>
    <row r="14" spans="1:11" ht="15" customHeight="1" x14ac:dyDescent="0.35">
      <c r="A14" s="7" t="s">
        <v>19</v>
      </c>
      <c r="B14" s="7">
        <v>16</v>
      </c>
      <c r="C14" s="12">
        <v>3</v>
      </c>
      <c r="D14" s="7" t="s">
        <v>29</v>
      </c>
      <c r="E14" s="13">
        <f>Расчёты!C518</f>
        <v>300</v>
      </c>
      <c r="F14" s="13">
        <f>Расчёты!C519</f>
        <v>10.531230674087816</v>
      </c>
      <c r="G14" s="14">
        <f>Расчёты!C520</f>
        <v>20</v>
      </c>
      <c r="H14" s="15">
        <f>Расчёты!C521</f>
        <v>1900.0000000000002</v>
      </c>
      <c r="I14" s="13">
        <f t="shared" si="0"/>
        <v>378.66243381488846</v>
      </c>
      <c r="J14" s="15">
        <f t="shared" si="1"/>
        <v>14191.942886222436</v>
      </c>
      <c r="K14" s="13">
        <f t="shared" si="2"/>
        <v>26.681507729466318</v>
      </c>
    </row>
    <row r="15" spans="1:11" ht="15" customHeight="1" x14ac:dyDescent="0.35">
      <c r="A15" s="7" t="s">
        <v>21</v>
      </c>
      <c r="B15" s="7">
        <v>3</v>
      </c>
      <c r="C15" s="12">
        <v>3</v>
      </c>
      <c r="D15" s="7" t="s">
        <v>30</v>
      </c>
      <c r="E15" s="13">
        <f>Расчёты!C85</f>
        <v>9200</v>
      </c>
      <c r="F15" s="13">
        <f>Расчёты!C86</f>
        <v>-144.21136363636361</v>
      </c>
      <c r="G15" s="14">
        <f>Расчёты!C87</f>
        <v>25</v>
      </c>
      <c r="H15" s="15">
        <f>Расчёты!C88</f>
        <v>27594.000000000004</v>
      </c>
      <c r="I15" s="13">
        <f t="shared" si="0"/>
        <v>8068.9302134594727</v>
      </c>
      <c r="J15" s="15">
        <f t="shared" si="1"/>
        <v>216423.58065830931</v>
      </c>
      <c r="K15" s="13">
        <f t="shared" si="2"/>
        <v>37.283045539287805</v>
      </c>
    </row>
    <row r="16" spans="1:11" ht="15" customHeight="1" x14ac:dyDescent="0.35">
      <c r="A16" s="7" t="s">
        <v>21</v>
      </c>
      <c r="B16" s="7">
        <v>6</v>
      </c>
      <c r="C16" s="12">
        <v>6</v>
      </c>
      <c r="D16" s="7" t="s">
        <v>31</v>
      </c>
      <c r="E16" s="13">
        <f>Расчёты!C240</f>
        <v>1352.6845034246574</v>
      </c>
      <c r="F16" s="13">
        <f>Расчёты!C241</f>
        <v>24.691178571428559</v>
      </c>
      <c r="G16" s="14">
        <f>Расчёты!C242</f>
        <v>20</v>
      </c>
      <c r="H16" s="15">
        <f>Расчёты!C243</f>
        <v>5225</v>
      </c>
      <c r="I16" s="13">
        <f t="shared" si="0"/>
        <v>1537.1138697821486</v>
      </c>
      <c r="J16" s="15">
        <f t="shared" si="1"/>
        <v>39027.842937111694</v>
      </c>
      <c r="K16" s="13">
        <f t="shared" si="2"/>
        <v>39.385058309756147</v>
      </c>
    </row>
    <row r="17" spans="1:11" ht="15" customHeight="1" x14ac:dyDescent="0.35">
      <c r="A17" s="7" t="s">
        <v>25</v>
      </c>
      <c r="B17" s="7">
        <v>25</v>
      </c>
      <c r="C17" s="12">
        <v>2</v>
      </c>
      <c r="D17" s="7" t="s">
        <v>32</v>
      </c>
      <c r="E17" s="13">
        <f>Расчёты!C722</f>
        <v>140</v>
      </c>
      <c r="F17" s="13">
        <f>Расчёты!C723</f>
        <v>-4.4114285714285737</v>
      </c>
      <c r="G17" s="14">
        <f>Расчёты!C724</f>
        <v>20</v>
      </c>
      <c r="H17" s="15">
        <f>Расчёты!C725</f>
        <v>360.00000000000006</v>
      </c>
      <c r="I17" s="13">
        <f t="shared" si="0"/>
        <v>107.04908298296624</v>
      </c>
      <c r="J17" s="15">
        <f t="shared" si="1"/>
        <v>2688.9997047579354</v>
      </c>
      <c r="K17" s="13">
        <f t="shared" si="2"/>
        <v>39.810001761455318</v>
      </c>
    </row>
    <row r="18" spans="1:11" ht="15" customHeight="1" x14ac:dyDescent="0.35">
      <c r="A18" s="7" t="s">
        <v>16</v>
      </c>
      <c r="B18" s="7">
        <v>20</v>
      </c>
      <c r="C18" s="12">
        <v>3</v>
      </c>
      <c r="D18" s="7" t="s">
        <v>33</v>
      </c>
      <c r="E18" s="13">
        <f>Расчёты!C622</f>
        <v>140.25</v>
      </c>
      <c r="F18" s="13">
        <f>Расчёты!C623</f>
        <v>153</v>
      </c>
      <c r="G18" s="14">
        <f>Расчёты!C624</f>
        <v>10</v>
      </c>
      <c r="H18" s="15">
        <f>Расчёты!C625</f>
        <v>1780.0000000000002</v>
      </c>
      <c r="I18" s="13">
        <f t="shared" si="0"/>
        <v>1004.7341233468626</v>
      </c>
      <c r="J18" s="15">
        <f t="shared" si="1"/>
        <v>10057.396990571344</v>
      </c>
      <c r="K18" s="13">
        <f t="shared" si="2"/>
        <v>99.900016305291061</v>
      </c>
    </row>
    <row r="19" spans="1:11" ht="15" customHeight="1" x14ac:dyDescent="0.35">
      <c r="A19" s="7" t="s">
        <v>34</v>
      </c>
      <c r="B19" s="7">
        <v>9</v>
      </c>
      <c r="C19" s="12">
        <v>1</v>
      </c>
      <c r="D19" s="7" t="s">
        <v>35</v>
      </c>
      <c r="E19" s="13">
        <f>Расчёты!C302</f>
        <v>6250</v>
      </c>
      <c r="F19" s="13">
        <f>Расчёты!C303</f>
        <v>8.318181818181813</v>
      </c>
      <c r="G19" s="14">
        <f>Расчёты!C304</f>
        <v>20</v>
      </c>
      <c r="H19" s="15">
        <f>Расчёты!C305</f>
        <v>17520</v>
      </c>
      <c r="I19" s="13">
        <f t="shared" si="0"/>
        <v>6312.1321901478159</v>
      </c>
      <c r="J19" s="15">
        <f t="shared" si="1"/>
        <v>130864.65229821952</v>
      </c>
      <c r="K19" s="13">
        <f t="shared" si="2"/>
        <v>48.234050060848219</v>
      </c>
    </row>
    <row r="20" spans="1:11" ht="15" customHeight="1" x14ac:dyDescent="0.35">
      <c r="A20" s="7" t="s">
        <v>36</v>
      </c>
      <c r="B20" s="7">
        <v>18</v>
      </c>
      <c r="C20" s="12">
        <v>1</v>
      </c>
      <c r="D20" s="7" t="s">
        <v>37</v>
      </c>
      <c r="E20" s="13">
        <f>Расчёты!C569</f>
        <v>200</v>
      </c>
      <c r="F20" s="13">
        <f>Расчёты!C570</f>
        <v>20</v>
      </c>
      <c r="G20" s="14">
        <f>Расчёты!C571</f>
        <v>30</v>
      </c>
      <c r="H20" s="15">
        <f>Расчёты!C572</f>
        <v>860</v>
      </c>
      <c r="I20" s="13">
        <f t="shared" si="0"/>
        <v>361.10367935334727</v>
      </c>
      <c r="J20" s="15">
        <f t="shared" si="1"/>
        <v>6927.458212193932</v>
      </c>
      <c r="K20" s="13">
        <f t="shared" si="2"/>
        <v>52.126431988823995</v>
      </c>
    </row>
    <row r="21" spans="1:11" ht="15" customHeight="1" x14ac:dyDescent="0.35">
      <c r="A21" s="7" t="s">
        <v>21</v>
      </c>
      <c r="B21" s="7">
        <v>4</v>
      </c>
      <c r="C21" s="12">
        <v>4</v>
      </c>
      <c r="D21" s="7" t="s">
        <v>38</v>
      </c>
      <c r="E21" s="13">
        <f>Расчёты!C172</f>
        <v>5880</v>
      </c>
      <c r="F21" s="13">
        <f>Расчёты!C173</f>
        <v>781.22800622360523</v>
      </c>
      <c r="G21" s="14">
        <f>Расчёты!C174</f>
        <v>25</v>
      </c>
      <c r="H21" s="15">
        <f>Расчёты!C175</f>
        <v>28207.200000000001</v>
      </c>
      <c r="I21" s="13">
        <f t="shared" si="0"/>
        <v>12007.27993105257</v>
      </c>
      <c r="J21" s="15">
        <f t="shared" si="1"/>
        <v>221232.99356182729</v>
      </c>
      <c r="K21" s="13">
        <f t="shared" si="2"/>
        <v>54.274363591689735</v>
      </c>
    </row>
    <row r="22" spans="1:11" ht="15" customHeight="1" x14ac:dyDescent="0.35">
      <c r="A22" s="7" t="s">
        <v>27</v>
      </c>
      <c r="B22" s="7">
        <v>13</v>
      </c>
      <c r="C22" s="12">
        <v>3</v>
      </c>
      <c r="D22" s="7" t="s">
        <v>39</v>
      </c>
      <c r="E22" s="13">
        <f>Расчёты!C443</f>
        <v>184.32289533574658</v>
      </c>
      <c r="F22" s="13">
        <f>Расчёты!C444</f>
        <v>1138.2486768368617</v>
      </c>
      <c r="G22" s="14">
        <f>Расчёты!C445</f>
        <v>25</v>
      </c>
      <c r="H22" s="15">
        <f>Расчёты!C446</f>
        <v>11625</v>
      </c>
      <c r="I22" s="13">
        <f t="shared" si="0"/>
        <v>9111.7656118906634</v>
      </c>
      <c r="J22" s="15">
        <f t="shared" si="1"/>
        <v>91176.492177750435</v>
      </c>
      <c r="K22" s="13">
        <f t="shared" si="2"/>
        <v>99.935470144289937</v>
      </c>
    </row>
    <row r="23" spans="1:11" ht="15" customHeight="1" x14ac:dyDescent="0.35">
      <c r="A23" s="7" t="s">
        <v>19</v>
      </c>
      <c r="B23" s="7">
        <v>17</v>
      </c>
      <c r="C23" s="12">
        <v>4</v>
      </c>
      <c r="D23" s="7" t="s">
        <v>40</v>
      </c>
      <c r="E23" s="13">
        <f>Расчёты!C544</f>
        <v>630</v>
      </c>
      <c r="F23" s="13">
        <f>Расчёты!C545</f>
        <v>354.68181818181813</v>
      </c>
      <c r="G23" s="14">
        <f>Расчёты!C546</f>
        <v>20</v>
      </c>
      <c r="H23" s="15">
        <f>Расчёты!C547</f>
        <v>5130</v>
      </c>
      <c r="I23" s="13">
        <f t="shared" si="0"/>
        <v>3279.2758454831014</v>
      </c>
      <c r="J23" s="15">
        <f t="shared" si="1"/>
        <v>38318.245792800575</v>
      </c>
      <c r="K23" s="13">
        <f t="shared" si="2"/>
        <v>85.58000966994237</v>
      </c>
    </row>
    <row r="24" spans="1:11" ht="15" customHeight="1" x14ac:dyDescent="0.35">
      <c r="A24" s="7" t="s">
        <v>21</v>
      </c>
      <c r="B24" s="7">
        <v>7</v>
      </c>
      <c r="C24" s="12">
        <v>7</v>
      </c>
      <c r="D24" s="7" t="s">
        <v>41</v>
      </c>
      <c r="E24" s="13">
        <f>Расчёты!C277</f>
        <v>4767.5034246575342</v>
      </c>
      <c r="F24" s="13">
        <f>Расчёты!C278</f>
        <v>2669.307614155251</v>
      </c>
      <c r="G24" s="14">
        <f>Расчёты!C279</f>
        <v>25</v>
      </c>
      <c r="H24" s="15">
        <f>Расчёты!C280</f>
        <v>28215.000000000004</v>
      </c>
      <c r="I24" s="13">
        <f t="shared" si="0"/>
        <v>25703.254375370303</v>
      </c>
      <c r="J24" s="15">
        <f t="shared" si="1"/>
        <v>221294.17004690139</v>
      </c>
      <c r="K24" s="13">
        <f t="shared" si="2"/>
        <v>116.14971316199934</v>
      </c>
    </row>
    <row r="25" spans="1:11" ht="15" customHeight="1" x14ac:dyDescent="0.35">
      <c r="A25" s="7" t="s">
        <v>36</v>
      </c>
      <c r="B25" s="7">
        <v>19</v>
      </c>
      <c r="C25" s="12">
        <v>2</v>
      </c>
      <c r="D25" s="7" t="s">
        <v>665</v>
      </c>
      <c r="E25" s="13">
        <f>Расчёты!C593</f>
        <v>1203.4285714285713</v>
      </c>
      <c r="F25" s="13">
        <f>Расчёты!C594</f>
        <v>185.14285714285717</v>
      </c>
      <c r="G25" s="14">
        <f>Расчёты!C595</f>
        <v>25</v>
      </c>
      <c r="H25" s="15">
        <f>Расчёты!C596</f>
        <v>2160</v>
      </c>
      <c r="I25" s="13">
        <f t="shared" si="0"/>
        <v>2655.5297556050946</v>
      </c>
      <c r="J25" s="15">
        <f t="shared" si="1"/>
        <v>16941.180482059437</v>
      </c>
      <c r="K25" s="13">
        <f t="shared" si="2"/>
        <v>156.7499831795829</v>
      </c>
    </row>
    <row r="26" spans="1:11" ht="15" customHeight="1" x14ac:dyDescent="0.35">
      <c r="A26" s="7" t="s">
        <v>27</v>
      </c>
      <c r="B26" s="7">
        <v>12</v>
      </c>
      <c r="C26" s="12">
        <v>2</v>
      </c>
      <c r="D26" s="7" t="s">
        <v>42</v>
      </c>
      <c r="E26" s="13">
        <f>Расчёты!C404</f>
        <v>2500.6</v>
      </c>
      <c r="F26" s="13">
        <f>Расчёты!C405</f>
        <v>864.58799999999997</v>
      </c>
      <c r="G26" s="14">
        <f>Расчёты!C406</f>
        <v>30</v>
      </c>
      <c r="H26" s="15">
        <f>Расчёты!C407</f>
        <v>6975</v>
      </c>
      <c r="I26" s="13">
        <f t="shared" si="0"/>
        <v>9465.0153962375898</v>
      </c>
      <c r="J26" s="15">
        <f t="shared" si="1"/>
        <v>56184.908174479853</v>
      </c>
      <c r="K26" s="13">
        <f t="shared" si="2"/>
        <v>168.46188244794112</v>
      </c>
    </row>
    <row r="27" spans="1:11" ht="15" customHeight="1" x14ac:dyDescent="0.35">
      <c r="A27" s="7" t="s">
        <v>21</v>
      </c>
      <c r="B27" s="7">
        <v>5</v>
      </c>
      <c r="C27" s="12">
        <v>5</v>
      </c>
      <c r="D27" s="7" t="s">
        <v>43</v>
      </c>
      <c r="E27" s="13">
        <f>Расчёты!C202</f>
        <v>36036</v>
      </c>
      <c r="F27" s="13">
        <f>Расчёты!C203</f>
        <v>261.96381818181811</v>
      </c>
      <c r="G27" s="14">
        <f>Расчёты!C204</f>
        <v>60</v>
      </c>
      <c r="H27" s="15">
        <f>Расчёты!C205</f>
        <v>26805.600000000002</v>
      </c>
      <c r="I27" s="13">
        <f t="shared" si="0"/>
        <v>38216.599733426701</v>
      </c>
      <c r="J27" s="15">
        <f t="shared" si="1"/>
        <v>223131.13551343008</v>
      </c>
      <c r="K27" s="13">
        <f t="shared" si="2"/>
        <v>171.27416864297933</v>
      </c>
    </row>
    <row r="28" spans="1:11" ht="15" customHeight="1" x14ac:dyDescent="0.35">
      <c r="A28" s="7" t="s">
        <v>44</v>
      </c>
      <c r="B28" s="7">
        <v>24</v>
      </c>
      <c r="C28" s="12">
        <v>1</v>
      </c>
      <c r="D28" s="16" t="s">
        <v>45</v>
      </c>
      <c r="E28" s="13">
        <f>Расчёты!C773</f>
        <v>2200</v>
      </c>
      <c r="F28" s="13">
        <f>Расчёты!C774</f>
        <v>111</v>
      </c>
      <c r="G28" s="14">
        <f>Расчёты!C775</f>
        <v>30</v>
      </c>
      <c r="H28" s="15">
        <f>Расчёты!C776</f>
        <v>2100</v>
      </c>
      <c r="I28" s="13">
        <f t="shared" si="0"/>
        <v>3094.1254204110774</v>
      </c>
      <c r="J28" s="15">
        <f t="shared" si="1"/>
        <v>16915.886332101461</v>
      </c>
      <c r="K28" s="13">
        <f t="shared" si="2"/>
        <v>182.91240314965475</v>
      </c>
    </row>
    <row r="29" spans="1:11" ht="15" customHeight="1" x14ac:dyDescent="0.35">
      <c r="A29" s="7" t="s">
        <v>21</v>
      </c>
      <c r="B29" s="7">
        <v>2</v>
      </c>
      <c r="C29" s="12">
        <v>2</v>
      </c>
      <c r="D29" s="7" t="s">
        <v>46</v>
      </c>
      <c r="E29" s="13">
        <f>Расчёты!C54</f>
        <v>10500</v>
      </c>
      <c r="F29" s="13">
        <f>Расчёты!C55</f>
        <v>928.11445599021999</v>
      </c>
      <c r="G29" s="14">
        <f>Расчёты!C56</f>
        <v>20</v>
      </c>
      <c r="H29" s="15">
        <f>Расчёты!C57</f>
        <v>12045.000000000002</v>
      </c>
      <c r="I29" s="13">
        <f t="shared" si="0"/>
        <v>17432.498605942426</v>
      </c>
      <c r="J29" s="15">
        <f t="shared" si="1"/>
        <v>89969.448455025922</v>
      </c>
      <c r="K29" s="13">
        <f t="shared" si="2"/>
        <v>193.76020310557547</v>
      </c>
    </row>
    <row r="30" spans="1:11" ht="15" customHeight="1" x14ac:dyDescent="0.35">
      <c r="A30" s="7" t="s">
        <v>47</v>
      </c>
      <c r="B30" s="7">
        <v>10</v>
      </c>
      <c r="C30" s="12">
        <v>1</v>
      </c>
      <c r="D30" s="7" t="s">
        <v>48</v>
      </c>
      <c r="E30" s="13">
        <f>Расчёты!C335</f>
        <v>8798.7012987013004</v>
      </c>
      <c r="F30" s="13">
        <f>Расчёты!C336</f>
        <v>-642.30519480519501</v>
      </c>
      <c r="G30" s="14">
        <f>Расчёты!C337</f>
        <v>15</v>
      </c>
      <c r="H30" s="15">
        <f>Расчёты!C338</f>
        <v>2184.2775974025976</v>
      </c>
      <c r="I30" s="13">
        <f t="shared" si="0"/>
        <v>4424.047656003695</v>
      </c>
      <c r="J30" s="15">
        <f t="shared" si="1"/>
        <v>14876.818723283292</v>
      </c>
      <c r="K30" s="13">
        <f t="shared" si="2"/>
        <v>297.3786088473164</v>
      </c>
    </row>
    <row r="31" spans="1:11" x14ac:dyDescent="0.35">
      <c r="A31" s="7" t="s">
        <v>21</v>
      </c>
      <c r="B31" s="7">
        <v>1</v>
      </c>
      <c r="C31" s="12">
        <v>1</v>
      </c>
      <c r="D31" s="7" t="s">
        <v>49</v>
      </c>
      <c r="E31" s="13">
        <f>Расчёты!C24</f>
        <v>9750</v>
      </c>
      <c r="F31" s="13">
        <f>Расчёты!C25</f>
        <v>69.824999999999989</v>
      </c>
      <c r="G31" s="14">
        <f>Расчёты!C26</f>
        <v>20</v>
      </c>
      <c r="H31" s="15">
        <f>Расчёты!C27</f>
        <v>2706.0000000000005</v>
      </c>
      <c r="I31" s="13">
        <f t="shared" si="0"/>
        <v>10271.553901068675</v>
      </c>
      <c r="J31" s="15">
        <f t="shared" si="1"/>
        <v>20212.314447430483</v>
      </c>
      <c r="K31" s="13">
        <f t="shared" si="2"/>
        <v>508.18296577483045</v>
      </c>
    </row>
    <row r="32" spans="1:11" x14ac:dyDescent="0.35">
      <c r="D32" s="17" t="s">
        <v>50</v>
      </c>
      <c r="E32" s="18">
        <f>SUM(E6:E31)</f>
        <v>112927.77640783353</v>
      </c>
      <c r="H32" s="18">
        <f>SUM(H6:H31)</f>
        <v>222192.91897671297</v>
      </c>
      <c r="I32" s="18">
        <f>SUM(I6:I31)</f>
        <v>157791.22845542282</v>
      </c>
      <c r="J32" s="18">
        <f>SUM(J6:J31)</f>
        <v>1701684.9254739543</v>
      </c>
      <c r="K32" s="19">
        <f t="shared" si="2"/>
        <v>92.726465453923396</v>
      </c>
    </row>
    <row r="35" spans="1:11" x14ac:dyDescent="0.35">
      <c r="A35" s="20"/>
      <c r="B35" s="20"/>
      <c r="C35" s="20"/>
      <c r="D35" s="21" t="s">
        <v>51</v>
      </c>
      <c r="E35" s="20"/>
      <c r="F35" s="20"/>
      <c r="G35" s="20"/>
      <c r="H35" s="20"/>
      <c r="I35" s="20"/>
      <c r="J35" s="20"/>
      <c r="K35" s="20"/>
    </row>
    <row r="36" spans="1:11" x14ac:dyDescent="0.35">
      <c r="D36" s="16" t="s">
        <v>52</v>
      </c>
      <c r="E36" s="22">
        <v>15</v>
      </c>
      <c r="F36" s="23" t="s">
        <v>53</v>
      </c>
      <c r="G36" s="23" t="s">
        <v>54</v>
      </c>
    </row>
    <row r="37" spans="1:11" x14ac:dyDescent="0.35">
      <c r="D37" s="16" t="s">
        <v>55</v>
      </c>
      <c r="E37" s="22">
        <v>250</v>
      </c>
      <c r="F37" s="23" t="s">
        <v>56</v>
      </c>
      <c r="G37" s="23" t="s">
        <v>57</v>
      </c>
    </row>
    <row r="38" spans="1:11" x14ac:dyDescent="0.35">
      <c r="D38" s="16" t="s">
        <v>58</v>
      </c>
      <c r="E38" s="22">
        <v>50</v>
      </c>
      <c r="F38" s="23" t="s">
        <v>59</v>
      </c>
      <c r="G38" s="23" t="s">
        <v>60</v>
      </c>
    </row>
    <row r="39" spans="1:11" x14ac:dyDescent="0.35">
      <c r="D39" s="16" t="s">
        <v>61</v>
      </c>
      <c r="E39" s="24">
        <v>1</v>
      </c>
      <c r="F39" s="23" t="s">
        <v>62</v>
      </c>
    </row>
    <row r="40" spans="1:11" x14ac:dyDescent="0.35">
      <c r="D40" s="16" t="s">
        <v>63</v>
      </c>
      <c r="E40" s="24">
        <v>0.45</v>
      </c>
      <c r="F40" s="23" t="s">
        <v>62</v>
      </c>
    </row>
    <row r="41" spans="1:11" x14ac:dyDescent="0.35">
      <c r="D41" s="16" t="s">
        <v>64</v>
      </c>
      <c r="E41" s="24">
        <v>0.55000000000000004</v>
      </c>
      <c r="F41" s="23" t="s">
        <v>65</v>
      </c>
      <c r="G41" s="23" t="s">
        <v>66</v>
      </c>
    </row>
    <row r="42" spans="1:11" x14ac:dyDescent="0.35">
      <c r="D42" s="16" t="s">
        <v>67</v>
      </c>
      <c r="E42" s="24">
        <v>0.4</v>
      </c>
      <c r="F42" s="23" t="s">
        <v>68</v>
      </c>
      <c r="G42" s="23" t="s">
        <v>69</v>
      </c>
    </row>
    <row r="44" spans="1:11" x14ac:dyDescent="0.35">
      <c r="A44" s="20"/>
      <c r="B44" s="20"/>
      <c r="C44" s="20"/>
      <c r="D44" s="21" t="s">
        <v>70</v>
      </c>
      <c r="E44" s="20"/>
      <c r="F44" s="20"/>
      <c r="G44" s="20"/>
      <c r="H44" s="20"/>
      <c r="I44" s="20"/>
      <c r="J44" s="20"/>
      <c r="K44" s="20"/>
    </row>
    <row r="45" spans="1:11" x14ac:dyDescent="0.35">
      <c r="D45" s="16" t="s">
        <v>71</v>
      </c>
      <c r="E45" s="22">
        <v>500</v>
      </c>
      <c r="F45" s="23" t="s">
        <v>72</v>
      </c>
    </row>
    <row r="46" spans="1:11" x14ac:dyDescent="0.35">
      <c r="D46" s="16" t="s">
        <v>73</v>
      </c>
      <c r="E46" s="22">
        <v>1500</v>
      </c>
      <c r="F46" s="23" t="s">
        <v>72</v>
      </c>
      <c r="G46" s="23" t="s">
        <v>74</v>
      </c>
    </row>
    <row r="47" spans="1:11" x14ac:dyDescent="0.35">
      <c r="D47" s="16" t="s">
        <v>75</v>
      </c>
      <c r="E47" s="22">
        <v>500</v>
      </c>
      <c r="F47" s="23" t="s">
        <v>72</v>
      </c>
      <c r="G47" s="23" t="s">
        <v>76</v>
      </c>
    </row>
    <row r="48" spans="1:11" x14ac:dyDescent="0.35">
      <c r="D48" s="16" t="s">
        <v>77</v>
      </c>
      <c r="E48" s="22">
        <v>900</v>
      </c>
      <c r="F48" s="23" t="s">
        <v>72</v>
      </c>
      <c r="G48" s="23" t="s">
        <v>76</v>
      </c>
    </row>
    <row r="49" spans="4:7" x14ac:dyDescent="0.35">
      <c r="D49" s="16" t="s">
        <v>78</v>
      </c>
      <c r="E49" s="22">
        <v>1000</v>
      </c>
      <c r="F49" s="23" t="s">
        <v>72</v>
      </c>
      <c r="G49" s="23" t="s">
        <v>79</v>
      </c>
    </row>
    <row r="50" spans="4:7" x14ac:dyDescent="0.35">
      <c r="D50" s="16" t="s">
        <v>80</v>
      </c>
      <c r="E50" s="22">
        <v>7700</v>
      </c>
      <c r="F50" s="23" t="s">
        <v>72</v>
      </c>
      <c r="G50" s="23" t="s">
        <v>81</v>
      </c>
    </row>
    <row r="51" spans="4:7" x14ac:dyDescent="0.35">
      <c r="D51" s="16" t="s">
        <v>82</v>
      </c>
      <c r="E51" s="22">
        <v>1750</v>
      </c>
      <c r="F51" s="23" t="s">
        <v>83</v>
      </c>
      <c r="G51" s="23" t="s">
        <v>84</v>
      </c>
    </row>
    <row r="52" spans="4:7" x14ac:dyDescent="0.35">
      <c r="D52" s="16" t="s">
        <v>85</v>
      </c>
      <c r="E52" s="22">
        <v>150</v>
      </c>
      <c r="F52" s="23" t="s">
        <v>72</v>
      </c>
      <c r="G52" s="23" t="s">
        <v>86</v>
      </c>
    </row>
    <row r="53" spans="4:7" x14ac:dyDescent="0.35">
      <c r="D53" s="16" t="s">
        <v>87</v>
      </c>
      <c r="E53" s="22">
        <v>2500</v>
      </c>
      <c r="F53" s="23" t="s">
        <v>88</v>
      </c>
    </row>
    <row r="54" spans="4:7" x14ac:dyDescent="0.35">
      <c r="D54" s="16" t="s">
        <v>89</v>
      </c>
      <c r="E54" s="22">
        <v>5000</v>
      </c>
      <c r="F54" s="23" t="s">
        <v>90</v>
      </c>
      <c r="G54" s="23" t="s">
        <v>91</v>
      </c>
    </row>
    <row r="55" spans="4:7" x14ac:dyDescent="0.35">
      <c r="D55" s="16" t="s">
        <v>92</v>
      </c>
      <c r="E55" s="22">
        <v>100</v>
      </c>
      <c r="F55" s="23" t="s">
        <v>93</v>
      </c>
      <c r="G55" s="23" t="s">
        <v>94</v>
      </c>
    </row>
    <row r="56" spans="4:7" x14ac:dyDescent="0.35">
      <c r="D56" s="16" t="s">
        <v>95</v>
      </c>
      <c r="E56" s="22">
        <v>300</v>
      </c>
      <c r="F56" s="23" t="s">
        <v>96</v>
      </c>
      <c r="G56" s="23" t="s">
        <v>97</v>
      </c>
    </row>
    <row r="57" spans="4:7" x14ac:dyDescent="0.35">
      <c r="D57" s="16" t="s">
        <v>98</v>
      </c>
      <c r="E57" s="22">
        <v>2000</v>
      </c>
      <c r="F57" s="23" t="s">
        <v>99</v>
      </c>
      <c r="G57" s="23" t="s">
        <v>100</v>
      </c>
    </row>
  </sheetData>
  <autoFilter ref="A5:K32">
    <sortState ref="A6:K32">
      <sortCondition ref="A6:A32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Normal="100" workbookViewId="0">
      <selection activeCell="A46" sqref="A46:G46"/>
    </sheetView>
  </sheetViews>
  <sheetFormatPr defaultColWidth="8.6328125" defaultRowHeight="14.5" x14ac:dyDescent="0.35"/>
  <cols>
    <col min="2" max="2" width="51.1796875" style="5" customWidth="1"/>
    <col min="3" max="3" width="11.1796875" style="5" customWidth="1"/>
    <col min="4" max="4" width="11.7265625" style="5" customWidth="1"/>
    <col min="5" max="5" width="12.26953125" style="5" customWidth="1"/>
    <col min="6" max="6" width="13.453125" style="5" customWidth="1"/>
    <col min="7" max="7" width="39.453125" style="5" customWidth="1"/>
  </cols>
  <sheetData>
    <row r="1" spans="1:10" ht="18" customHeight="1" x14ac:dyDescent="0.4">
      <c r="A1" s="4" t="s">
        <v>101</v>
      </c>
      <c r="B1" s="4"/>
      <c r="C1" s="4"/>
      <c r="D1" s="4"/>
      <c r="E1" s="4"/>
      <c r="F1" s="4"/>
      <c r="G1" s="4"/>
    </row>
    <row r="2" spans="1:10" x14ac:dyDescent="0.35">
      <c r="A2" s="25" t="s">
        <v>102</v>
      </c>
    </row>
    <row r="3" spans="1:10" x14ac:dyDescent="0.35">
      <c r="A3" s="25" t="s">
        <v>103</v>
      </c>
    </row>
    <row r="5" spans="1:10" ht="22.5" customHeight="1" x14ac:dyDescent="0.35">
      <c r="A5" s="26" t="s">
        <v>104</v>
      </c>
      <c r="B5" s="26" t="s">
        <v>105</v>
      </c>
      <c r="C5" s="26" t="s">
        <v>106</v>
      </c>
      <c r="D5" s="26" t="s">
        <v>107</v>
      </c>
      <c r="E5" s="26" t="s">
        <v>108</v>
      </c>
      <c r="F5" s="26" t="s">
        <v>109</v>
      </c>
      <c r="G5" s="26" t="s">
        <v>110</v>
      </c>
    </row>
    <row r="6" spans="1:10" x14ac:dyDescent="0.35">
      <c r="A6" s="27" t="s">
        <v>111</v>
      </c>
      <c r="B6" s="28" t="s">
        <v>112</v>
      </c>
      <c r="C6" s="29">
        <v>281.89999999999998</v>
      </c>
      <c r="D6" s="30">
        <v>0.80819954128440397</v>
      </c>
      <c r="E6" s="31">
        <v>322</v>
      </c>
      <c r="F6" s="32">
        <v>-0.124534161490683</v>
      </c>
      <c r="G6" s="33" t="s">
        <v>113</v>
      </c>
      <c r="J6">
        <v>2</v>
      </c>
    </row>
    <row r="7" spans="1:10" x14ac:dyDescent="0.35">
      <c r="A7" s="34" t="s">
        <v>114</v>
      </c>
      <c r="B7" s="35" t="s">
        <v>115</v>
      </c>
      <c r="C7" s="36">
        <v>238.2</v>
      </c>
      <c r="D7" s="37">
        <v>0.68291284403669705</v>
      </c>
      <c r="E7" s="36">
        <v>262</v>
      </c>
      <c r="F7" s="38">
        <v>-9.0839694656488598E-2</v>
      </c>
      <c r="G7" s="39" t="s">
        <v>116</v>
      </c>
      <c r="J7">
        <v>4</v>
      </c>
    </row>
    <row r="8" spans="1:10" x14ac:dyDescent="0.35">
      <c r="A8" s="40" t="s">
        <v>21</v>
      </c>
      <c r="B8" s="41" t="s">
        <v>117</v>
      </c>
      <c r="C8" s="42">
        <v>135.30000000000001</v>
      </c>
      <c r="D8" s="43">
        <v>0.38790137614678899</v>
      </c>
      <c r="E8" s="42">
        <v>166</v>
      </c>
      <c r="F8" s="44">
        <v>-0.18493975903614501</v>
      </c>
      <c r="G8" s="25" t="s">
        <v>118</v>
      </c>
      <c r="J8">
        <v>2</v>
      </c>
    </row>
    <row r="9" spans="1:10" x14ac:dyDescent="0.35">
      <c r="A9" s="40" t="s">
        <v>34</v>
      </c>
      <c r="B9" s="41" t="s">
        <v>119</v>
      </c>
      <c r="C9" s="42">
        <v>26.2</v>
      </c>
      <c r="D9" s="43">
        <v>7.5114678899082604E-2</v>
      </c>
      <c r="E9" s="42">
        <v>32.700000000000003</v>
      </c>
      <c r="F9" s="44">
        <v>-0.19877675840978601</v>
      </c>
      <c r="G9" s="25" t="s">
        <v>120</v>
      </c>
    </row>
    <row r="10" spans="1:10" x14ac:dyDescent="0.35">
      <c r="A10" s="40" t="s">
        <v>47</v>
      </c>
      <c r="B10" s="41" t="s">
        <v>121</v>
      </c>
      <c r="C10" s="42">
        <v>27.1</v>
      </c>
      <c r="D10" s="43">
        <v>7.7694954128440394E-2</v>
      </c>
      <c r="E10" s="42">
        <v>28.4</v>
      </c>
      <c r="F10" s="44">
        <v>-4.5774647887323897E-2</v>
      </c>
      <c r="G10" s="25" t="s">
        <v>122</v>
      </c>
    </row>
    <row r="11" spans="1:10" x14ac:dyDescent="0.35">
      <c r="A11" s="40" t="s">
        <v>27</v>
      </c>
      <c r="B11" s="41" t="s">
        <v>123</v>
      </c>
      <c r="C11" s="42">
        <v>46.5</v>
      </c>
      <c r="D11" s="43">
        <v>0.13331422018348599</v>
      </c>
      <c r="E11" s="42">
        <v>32.6</v>
      </c>
      <c r="F11" s="45">
        <v>0.42638036809815899</v>
      </c>
      <c r="G11" s="25" t="s">
        <v>124</v>
      </c>
    </row>
    <row r="12" spans="1:10" x14ac:dyDescent="0.35">
      <c r="A12" s="40" t="s">
        <v>125</v>
      </c>
      <c r="B12" s="41" t="s">
        <v>126</v>
      </c>
      <c r="C12" s="42">
        <v>3.1</v>
      </c>
      <c r="D12" s="43">
        <v>8.8876146788990796E-3</v>
      </c>
      <c r="E12" s="42">
        <v>2.2999999999999998</v>
      </c>
      <c r="F12" s="45">
        <v>0.34782608695652201</v>
      </c>
      <c r="G12" s="25" t="s">
        <v>127</v>
      </c>
    </row>
    <row r="13" spans="1:10" x14ac:dyDescent="0.35">
      <c r="A13" s="34" t="s">
        <v>19</v>
      </c>
      <c r="B13" s="35" t="s">
        <v>128</v>
      </c>
      <c r="C13" s="36">
        <v>43.7</v>
      </c>
      <c r="D13" s="37">
        <v>0.125286697247706</v>
      </c>
      <c r="E13" s="36">
        <v>60</v>
      </c>
      <c r="F13" s="38">
        <v>-0.271666666666667</v>
      </c>
      <c r="G13" s="39" t="s">
        <v>129</v>
      </c>
    </row>
    <row r="14" spans="1:10" x14ac:dyDescent="0.35">
      <c r="A14" s="40" t="s">
        <v>130</v>
      </c>
      <c r="B14" s="41" t="s">
        <v>131</v>
      </c>
      <c r="C14" s="42">
        <v>9.5</v>
      </c>
      <c r="D14" s="43">
        <v>2.7236238532110098E-2</v>
      </c>
      <c r="E14" s="42">
        <v>22</v>
      </c>
      <c r="F14" s="44">
        <v>-0.56818181818181801</v>
      </c>
      <c r="G14" s="25" t="s">
        <v>132</v>
      </c>
    </row>
    <row r="15" spans="1:10" x14ac:dyDescent="0.35">
      <c r="A15" s="40" t="s">
        <v>133</v>
      </c>
      <c r="B15" s="41" t="s">
        <v>134</v>
      </c>
      <c r="C15" s="42">
        <v>34.200000000000003</v>
      </c>
      <c r="D15" s="43">
        <v>9.8050458715596298E-2</v>
      </c>
      <c r="E15" s="42">
        <v>38</v>
      </c>
      <c r="F15" s="44">
        <v>-9.9999999999999895E-2</v>
      </c>
      <c r="G15" s="25" t="s">
        <v>135</v>
      </c>
    </row>
    <row r="16" spans="1:10" x14ac:dyDescent="0.35">
      <c r="A16" s="27" t="s">
        <v>36</v>
      </c>
      <c r="B16" s="28" t="s">
        <v>136</v>
      </c>
      <c r="C16" s="29">
        <v>27</v>
      </c>
      <c r="D16" s="30">
        <v>7.7408256880733897E-2</v>
      </c>
      <c r="E16" s="31">
        <v>22.7</v>
      </c>
      <c r="F16" s="46">
        <v>0.18942731277533001</v>
      </c>
      <c r="G16" s="33" t="s">
        <v>113</v>
      </c>
    </row>
    <row r="17" spans="1:7" x14ac:dyDescent="0.35">
      <c r="A17" s="40" t="s">
        <v>137</v>
      </c>
      <c r="B17" s="41" t="s">
        <v>138</v>
      </c>
      <c r="C17" s="42">
        <v>8.6</v>
      </c>
      <c r="D17" s="43">
        <v>2.4655963302752298E-2</v>
      </c>
      <c r="E17" s="42">
        <v>5.4</v>
      </c>
      <c r="F17" s="45">
        <v>0.592592592592592</v>
      </c>
      <c r="G17" s="25" t="s">
        <v>139</v>
      </c>
    </row>
    <row r="18" spans="1:7" x14ac:dyDescent="0.35">
      <c r="A18" s="40" t="s">
        <v>140</v>
      </c>
      <c r="B18" s="41" t="s">
        <v>141</v>
      </c>
      <c r="C18" s="42">
        <v>1.1000000000000001</v>
      </c>
      <c r="D18" s="43">
        <v>3.1536697247706402E-3</v>
      </c>
      <c r="E18" s="42">
        <v>1.5</v>
      </c>
      <c r="F18" s="44">
        <v>-0.266666666666667</v>
      </c>
      <c r="G18" s="25" t="s">
        <v>142</v>
      </c>
    </row>
    <row r="19" spans="1:7" x14ac:dyDescent="0.35">
      <c r="A19" s="40" t="s">
        <v>143</v>
      </c>
      <c r="B19" s="41" t="s">
        <v>144</v>
      </c>
      <c r="C19" s="42">
        <v>14.9</v>
      </c>
      <c r="D19" s="43">
        <v>4.2717889908256902E-2</v>
      </c>
      <c r="E19" s="42">
        <v>13.5</v>
      </c>
      <c r="F19" s="45">
        <v>0.10370370370370401</v>
      </c>
      <c r="G19" s="25" t="s">
        <v>145</v>
      </c>
    </row>
    <row r="20" spans="1:7" x14ac:dyDescent="0.35">
      <c r="A20" s="40" t="s">
        <v>146</v>
      </c>
      <c r="B20" s="41" t="s">
        <v>147</v>
      </c>
      <c r="C20" s="42">
        <v>2.4</v>
      </c>
      <c r="D20" s="43">
        <v>6.8807339449541297E-3</v>
      </c>
      <c r="E20" s="42">
        <v>2.2999999999999998</v>
      </c>
      <c r="F20" s="45">
        <v>4.3478260869565299E-2</v>
      </c>
      <c r="G20" s="25" t="s">
        <v>148</v>
      </c>
    </row>
    <row r="21" spans="1:7" x14ac:dyDescent="0.35">
      <c r="A21" s="27" t="s">
        <v>16</v>
      </c>
      <c r="B21" s="28" t="s">
        <v>149</v>
      </c>
      <c r="C21" s="29">
        <v>33</v>
      </c>
      <c r="D21" s="30">
        <v>9.4610091743119296E-2</v>
      </c>
      <c r="E21" s="31">
        <v>41.8</v>
      </c>
      <c r="F21" s="32">
        <v>-0.21052631578947401</v>
      </c>
      <c r="G21" s="33" t="s">
        <v>113</v>
      </c>
    </row>
    <row r="22" spans="1:7" x14ac:dyDescent="0.35">
      <c r="A22" s="40" t="s">
        <v>150</v>
      </c>
      <c r="B22" s="41" t="s">
        <v>151</v>
      </c>
      <c r="C22" s="42">
        <v>17.8</v>
      </c>
      <c r="D22" s="43">
        <v>5.1032110091743098E-2</v>
      </c>
      <c r="E22" s="42">
        <v>26</v>
      </c>
      <c r="F22" s="44">
        <v>-0.31538461538461499</v>
      </c>
      <c r="G22" s="25" t="s">
        <v>152</v>
      </c>
    </row>
    <row r="23" spans="1:7" x14ac:dyDescent="0.35">
      <c r="A23" s="40" t="s">
        <v>153</v>
      </c>
      <c r="B23" s="41" t="s">
        <v>154</v>
      </c>
      <c r="C23" s="42">
        <v>3.3</v>
      </c>
      <c r="D23" s="43">
        <v>9.4610091743119306E-3</v>
      </c>
      <c r="E23" s="42">
        <v>4.4000000000000004</v>
      </c>
      <c r="F23" s="44">
        <v>-0.25</v>
      </c>
      <c r="G23" s="25" t="s">
        <v>155</v>
      </c>
    </row>
    <row r="24" spans="1:7" x14ac:dyDescent="0.35">
      <c r="A24" s="40" t="s">
        <v>156</v>
      </c>
      <c r="B24" s="41" t="s">
        <v>157</v>
      </c>
      <c r="C24" s="42">
        <v>0.3</v>
      </c>
      <c r="D24" s="43">
        <v>8.6009174311926599E-4</v>
      </c>
      <c r="E24" s="42">
        <v>0.5</v>
      </c>
      <c r="F24" s="44">
        <v>-0.4</v>
      </c>
      <c r="G24" s="25" t="s">
        <v>158</v>
      </c>
    </row>
    <row r="25" spans="1:7" x14ac:dyDescent="0.35">
      <c r="A25" s="40" t="s">
        <v>159</v>
      </c>
      <c r="B25" s="41" t="s">
        <v>160</v>
      </c>
      <c r="C25" s="42">
        <v>11.6</v>
      </c>
      <c r="D25" s="43">
        <v>3.3256880733944998E-2</v>
      </c>
      <c r="E25" s="42">
        <v>10.9</v>
      </c>
      <c r="F25" s="45">
        <v>6.4220183486238494E-2</v>
      </c>
      <c r="G25" s="25" t="s">
        <v>161</v>
      </c>
    </row>
    <row r="26" spans="1:7" x14ac:dyDescent="0.35">
      <c r="A26" s="27" t="s">
        <v>44</v>
      </c>
      <c r="B26" s="28" t="s">
        <v>162</v>
      </c>
      <c r="C26" s="29">
        <v>4.13</v>
      </c>
      <c r="D26" s="47"/>
      <c r="E26" s="31">
        <v>-4.79</v>
      </c>
      <c r="F26" s="48" t="s">
        <v>163</v>
      </c>
      <c r="G26" s="33" t="s">
        <v>164</v>
      </c>
    </row>
    <row r="27" spans="1:7" x14ac:dyDescent="0.35">
      <c r="A27" s="27" t="s">
        <v>25</v>
      </c>
      <c r="B27" s="28" t="s">
        <v>165</v>
      </c>
      <c r="C27" s="29">
        <v>6.9</v>
      </c>
      <c r="D27" s="30">
        <v>1.9782110091743101E-2</v>
      </c>
      <c r="E27" s="31">
        <v>4</v>
      </c>
      <c r="F27" s="46">
        <v>0.72499999999999998</v>
      </c>
      <c r="G27" s="33" t="s">
        <v>113</v>
      </c>
    </row>
    <row r="28" spans="1:7" x14ac:dyDescent="0.35">
      <c r="A28" s="40" t="s">
        <v>166</v>
      </c>
      <c r="B28" s="41" t="s">
        <v>167</v>
      </c>
      <c r="C28" s="42">
        <v>3.6</v>
      </c>
      <c r="D28" s="43">
        <v>1.03211009174312E-2</v>
      </c>
      <c r="E28" s="42">
        <v>2</v>
      </c>
      <c r="F28" s="45">
        <v>0.8</v>
      </c>
      <c r="G28" s="25" t="s">
        <v>168</v>
      </c>
    </row>
    <row r="29" spans="1:7" x14ac:dyDescent="0.35">
      <c r="A29" s="40" t="s">
        <v>169</v>
      </c>
      <c r="B29" s="41" t="s">
        <v>170</v>
      </c>
      <c r="C29" s="42">
        <v>3.2</v>
      </c>
      <c r="D29" s="43">
        <v>9.1743119266055103E-3</v>
      </c>
      <c r="E29" s="42">
        <v>1.9</v>
      </c>
      <c r="F29" s="45">
        <v>0.68421052631579005</v>
      </c>
      <c r="G29" s="25" t="s">
        <v>171</v>
      </c>
    </row>
    <row r="30" spans="1:7" x14ac:dyDescent="0.35">
      <c r="A30" s="40" t="s">
        <v>172</v>
      </c>
      <c r="B30" s="41" t="s">
        <v>173</v>
      </c>
      <c r="C30" s="42">
        <v>0.1</v>
      </c>
      <c r="D30" s="43">
        <v>2.8669724770642198E-4</v>
      </c>
      <c r="E30" s="42">
        <v>0.1</v>
      </c>
      <c r="F30" s="45">
        <v>0</v>
      </c>
      <c r="G30" s="25" t="s">
        <v>174</v>
      </c>
    </row>
    <row r="31" spans="1:7" ht="15" customHeight="1" x14ac:dyDescent="0.35"/>
    <row r="32" spans="1:7" ht="15" customHeight="1" x14ac:dyDescent="0.35">
      <c r="A32" s="49"/>
      <c r="B32" s="50" t="s">
        <v>175</v>
      </c>
      <c r="C32" s="51">
        <v>348.8</v>
      </c>
      <c r="D32" s="52">
        <v>1</v>
      </c>
      <c r="E32" s="53">
        <v>390.5</v>
      </c>
      <c r="F32" s="54">
        <v>-0.106786171574904</v>
      </c>
      <c r="G32" s="55" t="s">
        <v>113</v>
      </c>
    </row>
    <row r="33" spans="1:7" ht="15" customHeight="1" x14ac:dyDescent="0.35">
      <c r="A33" s="49"/>
      <c r="B33" s="50" t="s">
        <v>176</v>
      </c>
      <c r="C33" s="51">
        <v>353</v>
      </c>
      <c r="D33" s="56"/>
      <c r="E33" s="53">
        <v>385.7</v>
      </c>
      <c r="F33" s="54">
        <v>-8.4780917811770801E-2</v>
      </c>
      <c r="G33" s="55" t="s">
        <v>113</v>
      </c>
    </row>
    <row r="34" spans="1:7" ht="15" customHeight="1" x14ac:dyDescent="0.35"/>
    <row r="35" spans="1:7" x14ac:dyDescent="0.35">
      <c r="A35" s="57" t="s">
        <v>177</v>
      </c>
    </row>
    <row r="36" spans="1:7" x14ac:dyDescent="0.35">
      <c r="A36" s="3" t="s">
        <v>178</v>
      </c>
      <c r="B36" s="3"/>
      <c r="C36" s="3"/>
      <c r="D36" s="3"/>
      <c r="E36" s="3"/>
      <c r="F36" s="3"/>
      <c r="G36" s="3"/>
    </row>
    <row r="37" spans="1:7" x14ac:dyDescent="0.35">
      <c r="A37" s="3" t="s">
        <v>179</v>
      </c>
      <c r="B37" s="3"/>
      <c r="C37" s="3"/>
      <c r="D37" s="3"/>
      <c r="E37" s="3"/>
      <c r="F37" s="3"/>
      <c r="G37" s="3"/>
    </row>
    <row r="38" spans="1:7" x14ac:dyDescent="0.35">
      <c r="A38" s="3" t="s">
        <v>180</v>
      </c>
      <c r="B38" s="3"/>
      <c r="C38" s="3"/>
      <c r="D38" s="3"/>
      <c r="E38" s="3"/>
      <c r="F38" s="3"/>
      <c r="G38" s="3"/>
    </row>
    <row r="39" spans="1:7" x14ac:dyDescent="0.35">
      <c r="A39" s="3" t="s">
        <v>181</v>
      </c>
      <c r="B39" s="3"/>
      <c r="C39" s="3"/>
      <c r="D39" s="3"/>
      <c r="E39" s="3"/>
      <c r="F39" s="3"/>
      <c r="G39" s="3"/>
    </row>
    <row r="40" spans="1:7" x14ac:dyDescent="0.35">
      <c r="A40" s="3" t="s">
        <v>182</v>
      </c>
      <c r="B40" s="3"/>
      <c r="C40" s="3"/>
      <c r="D40" s="3"/>
      <c r="E40" s="3"/>
      <c r="F40" s="3"/>
      <c r="G40" s="3"/>
    </row>
    <row r="41" spans="1:7" x14ac:dyDescent="0.35">
      <c r="A41" s="3" t="s">
        <v>183</v>
      </c>
      <c r="B41" s="3"/>
      <c r="C41" s="3"/>
      <c r="D41" s="3"/>
      <c r="E41" s="3"/>
      <c r="F41" s="3"/>
      <c r="G41" s="3"/>
    </row>
    <row r="43" spans="1:7" x14ac:dyDescent="0.35">
      <c r="A43" s="57" t="s">
        <v>184</v>
      </c>
    </row>
    <row r="44" spans="1:7" x14ac:dyDescent="0.35">
      <c r="A44" s="3" t="s">
        <v>185</v>
      </c>
      <c r="B44" s="3"/>
      <c r="C44" s="3"/>
      <c r="D44" s="3"/>
      <c r="E44" s="3"/>
      <c r="F44" s="3"/>
      <c r="G44" s="3"/>
    </row>
    <row r="45" spans="1:7" x14ac:dyDescent="0.35">
      <c r="A45" s="3" t="s">
        <v>186</v>
      </c>
      <c r="B45" s="3"/>
      <c r="C45" s="3"/>
      <c r="D45" s="3"/>
      <c r="E45" s="3"/>
      <c r="F45" s="3"/>
      <c r="G45" s="3"/>
    </row>
    <row r="46" spans="1:7" x14ac:dyDescent="0.35">
      <c r="A46" s="3" t="s">
        <v>187</v>
      </c>
      <c r="B46" s="3"/>
      <c r="C46" s="3"/>
      <c r="D46" s="3"/>
      <c r="E46" s="3"/>
      <c r="F46" s="3"/>
      <c r="G46" s="3"/>
    </row>
  </sheetData>
  <mergeCells count="10">
    <mergeCell ref="A40:G40"/>
    <mergeCell ref="A41:G41"/>
    <mergeCell ref="A44:G44"/>
    <mergeCell ref="A45:G45"/>
    <mergeCell ref="A46:G46"/>
    <mergeCell ref="A1:G1"/>
    <mergeCell ref="A36:G36"/>
    <mergeCell ref="A37:G37"/>
    <mergeCell ref="A38:G38"/>
    <mergeCell ref="A39:G3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7"/>
  <sheetViews>
    <sheetView tabSelected="1" zoomScale="115" zoomScaleNormal="115" workbookViewId="0">
      <selection activeCell="H115" sqref="H115"/>
    </sheetView>
  </sheetViews>
  <sheetFormatPr defaultColWidth="8.54296875" defaultRowHeight="14.5" outlineLevelRow="1" x14ac:dyDescent="0.35"/>
  <cols>
    <col min="1" max="1" width="4" style="5" customWidth="1"/>
    <col min="2" max="2" width="50" style="5" customWidth="1"/>
    <col min="3" max="3" width="16" style="5" customWidth="1"/>
    <col min="4" max="4" width="14" style="5" customWidth="1"/>
    <col min="5" max="5" width="16" style="5" customWidth="1"/>
    <col min="6" max="6" width="12.453125" style="5" customWidth="1"/>
    <col min="7" max="7" width="12.6328125" style="5" customWidth="1"/>
    <col min="8" max="8" width="13" style="5" customWidth="1"/>
    <col min="9" max="9" width="14.54296875" style="5" customWidth="1"/>
    <col min="10" max="10" width="21.81640625" style="5" customWidth="1"/>
  </cols>
  <sheetData>
    <row r="1" spans="1:7" ht="17.25" customHeight="1" x14ac:dyDescent="0.4">
      <c r="B1" s="58" t="s">
        <v>188</v>
      </c>
    </row>
    <row r="2" spans="1:7" ht="15" customHeight="1" x14ac:dyDescent="0.35">
      <c r="A2" s="2" t="s">
        <v>189</v>
      </c>
      <c r="B2" s="2"/>
      <c r="C2" s="2"/>
      <c r="D2" s="2"/>
      <c r="E2" s="2"/>
      <c r="F2" s="2"/>
      <c r="G2" s="59">
        <v>1</v>
      </c>
    </row>
    <row r="3" spans="1:7" ht="15" hidden="1" customHeight="1" outlineLevel="1" x14ac:dyDescent="0.35">
      <c r="A3" s="60"/>
      <c r="B3" s="61" t="s">
        <v>190</v>
      </c>
      <c r="C3" s="60"/>
      <c r="D3" s="60"/>
      <c r="E3" s="60"/>
      <c r="F3" s="60"/>
    </row>
    <row r="4" spans="1:7" ht="15" hidden="1" customHeight="1" outlineLevel="1" x14ac:dyDescent="0.35">
      <c r="B4" s="7" t="s">
        <v>191</v>
      </c>
      <c r="C4" s="62">
        <f>Выбросы!C8</f>
        <v>135.30000000000001</v>
      </c>
      <c r="E4" s="63" t="s">
        <v>192</v>
      </c>
      <c r="F4" s="9" t="s">
        <v>193</v>
      </c>
    </row>
    <row r="5" spans="1:7" ht="15" hidden="1" customHeight="1" outlineLevel="1" x14ac:dyDescent="0.35">
      <c r="B5" s="7" t="s">
        <v>194</v>
      </c>
      <c r="C5" s="64">
        <f>C6</f>
        <v>0.02</v>
      </c>
      <c r="F5" s="9"/>
    </row>
    <row r="6" spans="1:7" ht="15" hidden="1" customHeight="1" outlineLevel="1" x14ac:dyDescent="0.35">
      <c r="B6" s="7" t="s">
        <v>195</v>
      </c>
      <c r="C6" s="8">
        <v>0.02</v>
      </c>
      <c r="E6" s="63" t="s">
        <v>196</v>
      </c>
      <c r="F6" s="9" t="s">
        <v>197</v>
      </c>
    </row>
    <row r="7" spans="1:7" ht="15" hidden="1" customHeight="1" outlineLevel="1" x14ac:dyDescent="0.35">
      <c r="B7" s="7" t="s">
        <v>198</v>
      </c>
      <c r="C7" s="65">
        <f>MACC!$E$45</f>
        <v>500</v>
      </c>
      <c r="E7" s="63" t="s">
        <v>72</v>
      </c>
      <c r="F7" s="9" t="s">
        <v>199</v>
      </c>
    </row>
    <row r="8" spans="1:7" ht="15" hidden="1" customHeight="1" outlineLevel="1" x14ac:dyDescent="0.35">
      <c r="B8" s="7" t="s">
        <v>200</v>
      </c>
      <c r="C8" s="66">
        <v>0.55000000000000004</v>
      </c>
      <c r="F8" s="9" t="s">
        <v>201</v>
      </c>
    </row>
    <row r="9" spans="1:7" ht="15" hidden="1" customHeight="1" outlineLevel="1" x14ac:dyDescent="0.35">
      <c r="B9" s="7" t="s">
        <v>52</v>
      </c>
      <c r="C9" s="65">
        <f>MACC!$E$36</f>
        <v>15</v>
      </c>
      <c r="E9" s="63" t="s">
        <v>53</v>
      </c>
      <c r="F9" s="9" t="s">
        <v>54</v>
      </c>
    </row>
    <row r="10" spans="1:7" ht="15" hidden="1" customHeight="1" outlineLevel="1" x14ac:dyDescent="0.35">
      <c r="B10" s="7" t="s">
        <v>67</v>
      </c>
      <c r="C10" s="67">
        <f>MACC!$E$42</f>
        <v>0.4</v>
      </c>
      <c r="F10" s="9" t="s">
        <v>202</v>
      </c>
    </row>
    <row r="11" spans="1:7" ht="15" hidden="1" customHeight="1" outlineLevel="1" x14ac:dyDescent="0.35">
      <c r="B11" s="7" t="s">
        <v>203</v>
      </c>
      <c r="C11" s="68">
        <v>20</v>
      </c>
      <c r="E11" s="63" t="s">
        <v>204</v>
      </c>
    </row>
    <row r="12" spans="1:7" ht="15" hidden="1" customHeight="1" outlineLevel="1" x14ac:dyDescent="0.35">
      <c r="A12" s="60"/>
      <c r="B12" s="61" t="s">
        <v>205</v>
      </c>
      <c r="C12" s="60"/>
      <c r="D12" s="60"/>
      <c r="E12" s="60"/>
      <c r="F12" s="60"/>
    </row>
    <row r="13" spans="1:7" ht="15" hidden="1" customHeight="1" outlineLevel="1" x14ac:dyDescent="0.35">
      <c r="B13" s="7" t="s">
        <v>206</v>
      </c>
      <c r="C13" s="69">
        <f>C4*C5*1000</f>
        <v>2706.0000000000005</v>
      </c>
      <c r="E13" s="63" t="s">
        <v>207</v>
      </c>
    </row>
    <row r="14" spans="1:7" ht="15" hidden="1" customHeight="1" outlineLevel="1" x14ac:dyDescent="0.35">
      <c r="B14" s="7" t="s">
        <v>208</v>
      </c>
      <c r="C14" s="70">
        <v>15000</v>
      </c>
      <c r="E14" s="63" t="s">
        <v>209</v>
      </c>
      <c r="F14" s="9" t="s">
        <v>210</v>
      </c>
    </row>
    <row r="15" spans="1:7" ht="15" hidden="1" customHeight="1" outlineLevel="1" x14ac:dyDescent="0.35">
      <c r="A15" s="60"/>
      <c r="B15" s="61" t="s">
        <v>211</v>
      </c>
      <c r="C15" s="60"/>
      <c r="D15" s="60"/>
      <c r="E15" s="60"/>
      <c r="F15" s="60"/>
    </row>
    <row r="16" spans="1:7" ht="15" hidden="1" customHeight="1" outlineLevel="1" x14ac:dyDescent="0.35">
      <c r="B16" s="7" t="s">
        <v>212</v>
      </c>
      <c r="C16" s="71">
        <f>C14*C7/1000</f>
        <v>7500</v>
      </c>
    </row>
    <row r="17" spans="1:7" ht="15" hidden="1" customHeight="1" outlineLevel="1" x14ac:dyDescent="0.35">
      <c r="B17" s="7" t="s">
        <v>213</v>
      </c>
      <c r="C17" s="71">
        <f>C16*0.3</f>
        <v>2250</v>
      </c>
      <c r="F17" s="9" t="s">
        <v>214</v>
      </c>
    </row>
    <row r="18" spans="1:7" ht="15" hidden="1" customHeight="1" outlineLevel="1" x14ac:dyDescent="0.35">
      <c r="A18" s="72"/>
      <c r="B18" s="73" t="s">
        <v>215</v>
      </c>
      <c r="C18" s="74">
        <f>SUM(C16:C17)</f>
        <v>9750</v>
      </c>
      <c r="D18" s="72"/>
      <c r="E18" s="72"/>
      <c r="F18" s="72"/>
    </row>
    <row r="19" spans="1:7" ht="15" hidden="1" customHeight="1" outlineLevel="1" x14ac:dyDescent="0.35">
      <c r="A19" s="60"/>
      <c r="B19" s="61" t="s">
        <v>216</v>
      </c>
      <c r="C19" s="60"/>
      <c r="D19" s="60"/>
      <c r="E19" s="60"/>
      <c r="F19" s="60"/>
    </row>
    <row r="20" spans="1:7" ht="15" hidden="1" customHeight="1" outlineLevel="1" x14ac:dyDescent="0.35">
      <c r="B20" s="7" t="s">
        <v>217</v>
      </c>
      <c r="C20" s="71">
        <f>C18*E20</f>
        <v>97.5</v>
      </c>
      <c r="E20" s="75">
        <v>0.01</v>
      </c>
      <c r="F20" s="9" t="s">
        <v>218</v>
      </c>
    </row>
    <row r="21" spans="1:7" ht="15" hidden="1" customHeight="1" outlineLevel="1" x14ac:dyDescent="0.35">
      <c r="B21" s="7" t="s">
        <v>219</v>
      </c>
      <c r="C21" s="71">
        <f>E21*C9</f>
        <v>-27.675000000000004</v>
      </c>
      <c r="E21" s="76">
        <f>-C13*1000/(C10*44/12)/10^6</f>
        <v>-1.8450000000000002</v>
      </c>
      <c r="F21" s="9" t="s">
        <v>220</v>
      </c>
    </row>
    <row r="22" spans="1:7" ht="15" hidden="1" customHeight="1" outlineLevel="1" x14ac:dyDescent="0.35">
      <c r="A22" s="72"/>
      <c r="B22" s="73" t="s">
        <v>221</v>
      </c>
      <c r="C22" s="74">
        <f>SUM(C20:C21)</f>
        <v>69.824999999999989</v>
      </c>
      <c r="D22" s="72"/>
      <c r="E22" s="72"/>
      <c r="F22" s="72"/>
    </row>
    <row r="23" spans="1:7" ht="15" hidden="1" customHeight="1" outlineLevel="1" x14ac:dyDescent="0.35">
      <c r="A23" s="60"/>
      <c r="B23" s="61" t="s">
        <v>222</v>
      </c>
      <c r="C23" s="60"/>
      <c r="D23" s="60"/>
      <c r="E23" s="60"/>
      <c r="F23" s="60"/>
    </row>
    <row r="24" spans="1:7" ht="15" hidden="1" customHeight="1" outlineLevel="1" x14ac:dyDescent="0.35">
      <c r="B24" s="77" t="s">
        <v>223</v>
      </c>
      <c r="C24" s="78">
        <f>C18</f>
        <v>9750</v>
      </c>
      <c r="E24" s="63" t="s">
        <v>224</v>
      </c>
    </row>
    <row r="25" spans="1:7" ht="15" hidden="1" customHeight="1" outlineLevel="1" x14ac:dyDescent="0.35">
      <c r="B25" s="77" t="s">
        <v>225</v>
      </c>
      <c r="C25" s="78">
        <f>C22</f>
        <v>69.824999999999989</v>
      </c>
      <c r="E25" s="63" t="s">
        <v>226</v>
      </c>
    </row>
    <row r="26" spans="1:7" ht="15" hidden="1" customHeight="1" outlineLevel="1" x14ac:dyDescent="0.35">
      <c r="B26" s="77" t="s">
        <v>203</v>
      </c>
      <c r="C26" s="79">
        <f>C11</f>
        <v>20</v>
      </c>
      <c r="E26" s="63" t="s">
        <v>204</v>
      </c>
    </row>
    <row r="27" spans="1:7" ht="15" hidden="1" customHeight="1" outlineLevel="1" x14ac:dyDescent="0.35">
      <c r="B27" s="77" t="s">
        <v>206</v>
      </c>
      <c r="C27" s="80">
        <f>C13</f>
        <v>2706.0000000000005</v>
      </c>
      <c r="E27" s="63" t="s">
        <v>207</v>
      </c>
    </row>
    <row r="28" spans="1:7" collapsed="1" x14ac:dyDescent="0.35"/>
    <row r="29" spans="1:7" ht="15" customHeight="1" x14ac:dyDescent="0.35">
      <c r="A29" s="2" t="s">
        <v>227</v>
      </c>
      <c r="B29" s="2"/>
      <c r="C29" s="2"/>
      <c r="D29" s="2"/>
      <c r="E29" s="2"/>
      <c r="F29" s="2"/>
      <c r="G29" s="59">
        <v>1</v>
      </c>
    </row>
    <row r="30" spans="1:7" ht="15" hidden="1" customHeight="1" outlineLevel="1" x14ac:dyDescent="0.35">
      <c r="A30" s="60"/>
      <c r="B30" s="61" t="s">
        <v>190</v>
      </c>
      <c r="C30" s="60"/>
      <c r="D30" s="60"/>
      <c r="E30" s="60"/>
      <c r="F30" s="60"/>
    </row>
    <row r="31" spans="1:7" ht="15" hidden="1" customHeight="1" outlineLevel="1" x14ac:dyDescent="0.35">
      <c r="B31" s="7" t="s">
        <v>191</v>
      </c>
      <c r="C31" s="62">
        <f>Выбросы!C8</f>
        <v>135.30000000000001</v>
      </c>
      <c r="E31" s="63" t="s">
        <v>192</v>
      </c>
      <c r="F31" s="9" t="s">
        <v>193</v>
      </c>
    </row>
    <row r="32" spans="1:7" ht="15" hidden="1" customHeight="1" outlineLevel="1" x14ac:dyDescent="0.35">
      <c r="B32" s="7" t="s">
        <v>194</v>
      </c>
      <c r="C32" s="81">
        <f>C42/1000/C31</f>
        <v>8.9024390243902449E-2</v>
      </c>
      <c r="F32" s="9" t="s">
        <v>228</v>
      </c>
    </row>
    <row r="33" spans="1:6" ht="15" hidden="1" customHeight="1" outlineLevel="1" x14ac:dyDescent="0.35">
      <c r="B33" s="7" t="s">
        <v>229</v>
      </c>
      <c r="C33" s="65">
        <f>MACC!$E$46</f>
        <v>1500</v>
      </c>
      <c r="E33" s="63" t="s">
        <v>72</v>
      </c>
      <c r="F33" s="9" t="s">
        <v>230</v>
      </c>
    </row>
    <row r="34" spans="1:6" ht="15" hidden="1" customHeight="1" outlineLevel="1" x14ac:dyDescent="0.35">
      <c r="B34" s="7" t="s">
        <v>231</v>
      </c>
      <c r="C34" s="8">
        <v>0.4</v>
      </c>
      <c r="F34" s="9" t="s">
        <v>232</v>
      </c>
    </row>
    <row r="35" spans="1:6" ht="15" hidden="1" customHeight="1" outlineLevel="1" x14ac:dyDescent="0.35">
      <c r="B35" s="7" t="s">
        <v>55</v>
      </c>
      <c r="C35" s="65">
        <f>MACC!$E$37</f>
        <v>250</v>
      </c>
      <c r="E35" s="63" t="s">
        <v>56</v>
      </c>
      <c r="F35" s="9" t="s">
        <v>233</v>
      </c>
    </row>
    <row r="36" spans="1:6" ht="15" hidden="1" customHeight="1" outlineLevel="1" x14ac:dyDescent="0.35">
      <c r="B36" s="7" t="s">
        <v>52</v>
      </c>
      <c r="C36" s="65">
        <f>MACC!$E$36</f>
        <v>15</v>
      </c>
      <c r="E36" s="63" t="s">
        <v>53</v>
      </c>
      <c r="F36" s="9" t="s">
        <v>234</v>
      </c>
    </row>
    <row r="37" spans="1:6" ht="15" hidden="1" customHeight="1" outlineLevel="1" x14ac:dyDescent="0.35">
      <c r="B37" s="7" t="s">
        <v>235</v>
      </c>
      <c r="C37" s="82">
        <f>MACC!$E$39</f>
        <v>1</v>
      </c>
      <c r="E37" s="63" t="s">
        <v>236</v>
      </c>
      <c r="F37" s="9"/>
    </row>
    <row r="38" spans="1:6" ht="15" hidden="1" customHeight="1" outlineLevel="1" x14ac:dyDescent="0.35">
      <c r="B38" s="7" t="s">
        <v>237</v>
      </c>
      <c r="C38" s="82">
        <f>MACC!$E$40</f>
        <v>0.45</v>
      </c>
      <c r="E38" s="63" t="s">
        <v>236</v>
      </c>
      <c r="F38" s="9"/>
    </row>
    <row r="39" spans="1:6" ht="15" hidden="1" customHeight="1" outlineLevel="1" x14ac:dyDescent="0.35">
      <c r="B39" s="7" t="s">
        <v>238</v>
      </c>
      <c r="C39" s="66">
        <v>0.5</v>
      </c>
    </row>
    <row r="40" spans="1:6" ht="15" hidden="1" customHeight="1" outlineLevel="1" x14ac:dyDescent="0.35">
      <c r="B40" s="7" t="s">
        <v>203</v>
      </c>
      <c r="C40" s="68">
        <v>20</v>
      </c>
      <c r="E40" s="63" t="s">
        <v>204</v>
      </c>
    </row>
    <row r="41" spans="1:6" ht="15" hidden="1" customHeight="1" outlineLevel="1" x14ac:dyDescent="0.35">
      <c r="A41" s="60"/>
      <c r="B41" s="61" t="s">
        <v>205</v>
      </c>
      <c r="C41" s="60"/>
      <c r="D41" s="60"/>
      <c r="E41" s="60"/>
      <c r="F41" s="60"/>
    </row>
    <row r="42" spans="1:6" ht="15" hidden="1" customHeight="1" outlineLevel="1" x14ac:dyDescent="0.35">
      <c r="B42" s="7" t="s">
        <v>206</v>
      </c>
      <c r="C42" s="69">
        <f>C43*8760*C39*(C37-C38)*10^-3</f>
        <v>12045.000000000002</v>
      </c>
      <c r="E42" s="63" t="s">
        <v>207</v>
      </c>
    </row>
    <row r="43" spans="1:6" ht="15" hidden="1" customHeight="1" outlineLevel="1" x14ac:dyDescent="0.35">
      <c r="B43" s="7" t="s">
        <v>208</v>
      </c>
      <c r="C43" s="83">
        <v>5000</v>
      </c>
      <c r="E43" s="63" t="s">
        <v>209</v>
      </c>
    </row>
    <row r="44" spans="1:6" ht="15" hidden="1" customHeight="1" outlineLevel="1" x14ac:dyDescent="0.35">
      <c r="A44" s="60"/>
      <c r="B44" s="61" t="s">
        <v>211</v>
      </c>
      <c r="C44" s="60"/>
      <c r="D44" s="60"/>
      <c r="E44" s="60"/>
      <c r="F44" s="60"/>
    </row>
    <row r="45" spans="1:6" ht="15" hidden="1" customHeight="1" outlineLevel="1" x14ac:dyDescent="0.35">
      <c r="B45" s="7" t="s">
        <v>239</v>
      </c>
      <c r="C45" s="71">
        <f>C43*C33/1000</f>
        <v>7500</v>
      </c>
    </row>
    <row r="46" spans="1:6" ht="15" hidden="1" customHeight="1" outlineLevel="1" x14ac:dyDescent="0.35">
      <c r="B46" s="7" t="s">
        <v>240</v>
      </c>
      <c r="C46" s="71">
        <f>C45*C34</f>
        <v>3000</v>
      </c>
    </row>
    <row r="47" spans="1:6" ht="15" hidden="1" customHeight="1" outlineLevel="1" x14ac:dyDescent="0.35">
      <c r="A47" s="72"/>
      <c r="B47" s="73" t="s">
        <v>215</v>
      </c>
      <c r="C47" s="74">
        <f>SUM(C45:C46)</f>
        <v>10500</v>
      </c>
      <c r="D47" s="72"/>
      <c r="E47" s="72"/>
      <c r="F47" s="72"/>
    </row>
    <row r="48" spans="1:6" ht="15" hidden="1" customHeight="1" outlineLevel="1" x14ac:dyDescent="0.35">
      <c r="A48" s="60"/>
      <c r="B48" s="61" t="s">
        <v>216</v>
      </c>
      <c r="C48" s="60"/>
      <c r="D48" s="60"/>
      <c r="E48" s="60"/>
      <c r="F48" s="60"/>
    </row>
    <row r="49" spans="1:7" ht="15" hidden="1" customHeight="1" outlineLevel="1" x14ac:dyDescent="0.35">
      <c r="B49" s="7" t="s">
        <v>217</v>
      </c>
      <c r="C49" s="71">
        <f>C43*E49*12*10^-3</f>
        <v>-120</v>
      </c>
      <c r="E49" s="63">
        <v>-2</v>
      </c>
      <c r="F49" s="9" t="s">
        <v>241</v>
      </c>
    </row>
    <row r="50" spans="1:7" ht="15" hidden="1" customHeight="1" outlineLevel="1" x14ac:dyDescent="0.35">
      <c r="B50" s="7" t="s">
        <v>242</v>
      </c>
      <c r="C50" s="71">
        <f>E50*10^-3*C35</f>
        <v>1171.30195599022</v>
      </c>
      <c r="E50" s="76">
        <f>C43*8760*C39*250*7000/8180*10^-6</f>
        <v>4685.20782396088</v>
      </c>
      <c r="F50" s="9" t="s">
        <v>243</v>
      </c>
    </row>
    <row r="51" spans="1:7" ht="15" hidden="1" customHeight="1" outlineLevel="1" x14ac:dyDescent="0.35">
      <c r="B51" s="7" t="s">
        <v>244</v>
      </c>
      <c r="C51" s="71">
        <f>E51*C36</f>
        <v>-123.1875</v>
      </c>
      <c r="E51" s="76">
        <f>-C42*1000/(C10*44/12)/10^6</f>
        <v>-8.2125000000000004</v>
      </c>
      <c r="F51" s="9" t="s">
        <v>220</v>
      </c>
    </row>
    <row r="52" spans="1:7" ht="15" hidden="1" customHeight="1" outlineLevel="1" x14ac:dyDescent="0.35">
      <c r="A52" s="72"/>
      <c r="B52" s="73" t="s">
        <v>221</v>
      </c>
      <c r="C52" s="74">
        <f>SUM(C49:C51)</f>
        <v>928.11445599021999</v>
      </c>
      <c r="D52" s="72"/>
      <c r="E52" s="72"/>
      <c r="F52" s="72"/>
    </row>
    <row r="53" spans="1:7" ht="15" hidden="1" customHeight="1" outlineLevel="1" x14ac:dyDescent="0.35">
      <c r="A53" s="60"/>
      <c r="B53" s="61" t="s">
        <v>222</v>
      </c>
      <c r="C53" s="60"/>
      <c r="D53" s="60"/>
      <c r="E53" s="60"/>
      <c r="F53" s="60"/>
    </row>
    <row r="54" spans="1:7" ht="15" hidden="1" customHeight="1" outlineLevel="1" x14ac:dyDescent="0.35">
      <c r="B54" s="77" t="s">
        <v>223</v>
      </c>
      <c r="C54" s="78">
        <f>C47</f>
        <v>10500</v>
      </c>
      <c r="E54" s="63" t="s">
        <v>224</v>
      </c>
    </row>
    <row r="55" spans="1:7" ht="15" hidden="1" customHeight="1" outlineLevel="1" x14ac:dyDescent="0.35">
      <c r="B55" s="77" t="s">
        <v>225</v>
      </c>
      <c r="C55" s="78">
        <f>C52</f>
        <v>928.11445599021999</v>
      </c>
      <c r="E55" s="63" t="s">
        <v>226</v>
      </c>
    </row>
    <row r="56" spans="1:7" ht="15" hidden="1" customHeight="1" outlineLevel="1" x14ac:dyDescent="0.35">
      <c r="B56" s="77" t="s">
        <v>203</v>
      </c>
      <c r="C56" s="79">
        <f>C40</f>
        <v>20</v>
      </c>
      <c r="E56" s="63" t="s">
        <v>204</v>
      </c>
    </row>
    <row r="57" spans="1:7" ht="15" hidden="1" customHeight="1" outlineLevel="1" x14ac:dyDescent="0.35">
      <c r="B57" s="77" t="s">
        <v>206</v>
      </c>
      <c r="C57" s="80">
        <f>C42</f>
        <v>12045.000000000002</v>
      </c>
      <c r="E57" s="63" t="s">
        <v>207</v>
      </c>
    </row>
    <row r="58" spans="1:7" collapsed="1" x14ac:dyDescent="0.35"/>
    <row r="59" spans="1:7" ht="15" customHeight="1" x14ac:dyDescent="0.35">
      <c r="A59" s="2" t="s">
        <v>245</v>
      </c>
      <c r="B59" s="2"/>
      <c r="C59" s="2"/>
      <c r="D59" s="2"/>
      <c r="E59" s="2"/>
      <c r="F59" s="2"/>
      <c r="G59" s="59">
        <v>1</v>
      </c>
    </row>
    <row r="60" spans="1:7" ht="15" hidden="1" customHeight="1" outlineLevel="1" x14ac:dyDescent="0.35">
      <c r="A60" s="60"/>
      <c r="B60" s="61" t="s">
        <v>190</v>
      </c>
      <c r="C60" s="60"/>
      <c r="D60" s="60"/>
      <c r="E60" s="60"/>
      <c r="F60" s="60"/>
    </row>
    <row r="61" spans="1:7" ht="15" hidden="1" customHeight="1" outlineLevel="1" x14ac:dyDescent="0.35">
      <c r="B61" s="7" t="s">
        <v>191</v>
      </c>
      <c r="C61" s="62">
        <f>Выбросы!C8</f>
        <v>135.30000000000001</v>
      </c>
      <c r="E61" s="63" t="s">
        <v>192</v>
      </c>
      <c r="F61" s="9" t="s">
        <v>193</v>
      </c>
    </row>
    <row r="62" spans="1:7" ht="15" hidden="1" customHeight="1" outlineLevel="1" x14ac:dyDescent="0.35">
      <c r="B62" s="7" t="s">
        <v>194</v>
      </c>
      <c r="C62" s="8">
        <v>0.2</v>
      </c>
      <c r="F62" s="9" t="s">
        <v>228</v>
      </c>
    </row>
    <row r="63" spans="1:7" ht="15" hidden="1" customHeight="1" outlineLevel="1" x14ac:dyDescent="0.35">
      <c r="B63" s="7" t="s">
        <v>246</v>
      </c>
      <c r="C63" s="66">
        <f>0.4*(1-C67)+0.2*C67</f>
        <v>0.35000000000000003</v>
      </c>
      <c r="F63" s="9" t="s">
        <v>247</v>
      </c>
    </row>
    <row r="64" spans="1:7" ht="15" hidden="1" customHeight="1" outlineLevel="1" x14ac:dyDescent="0.35">
      <c r="B64" s="7" t="s">
        <v>248</v>
      </c>
      <c r="C64" s="66">
        <v>0.1</v>
      </c>
      <c r="F64" s="9"/>
    </row>
    <row r="65" spans="1:6" ht="15" hidden="1" customHeight="1" outlineLevel="1" x14ac:dyDescent="0.35">
      <c r="B65" s="7" t="s">
        <v>249</v>
      </c>
      <c r="C65" s="65">
        <f>MACC!$E$47</f>
        <v>500</v>
      </c>
      <c r="E65" s="63" t="s">
        <v>72</v>
      </c>
      <c r="F65" s="9" t="s">
        <v>250</v>
      </c>
    </row>
    <row r="66" spans="1:6" ht="15" hidden="1" customHeight="1" outlineLevel="1" x14ac:dyDescent="0.35">
      <c r="B66" s="7" t="s">
        <v>251</v>
      </c>
      <c r="C66" s="65">
        <f>MACC!$E$48</f>
        <v>900</v>
      </c>
      <c r="E66" s="63" t="s">
        <v>72</v>
      </c>
      <c r="F66" s="9" t="s">
        <v>250</v>
      </c>
    </row>
    <row r="67" spans="1:6" ht="15" hidden="1" customHeight="1" outlineLevel="1" x14ac:dyDescent="0.35">
      <c r="B67" s="7" t="s">
        <v>252</v>
      </c>
      <c r="C67" s="8">
        <v>0.25</v>
      </c>
      <c r="F67" s="9" t="s">
        <v>253</v>
      </c>
    </row>
    <row r="68" spans="1:6" ht="15" hidden="1" customHeight="1" outlineLevel="1" x14ac:dyDescent="0.35">
      <c r="B68" s="7" t="s">
        <v>254</v>
      </c>
      <c r="C68" s="8">
        <v>0.15</v>
      </c>
      <c r="E68" s="63" t="s">
        <v>255</v>
      </c>
      <c r="F68" s="9" t="s">
        <v>232</v>
      </c>
    </row>
    <row r="69" spans="1:6" ht="15" hidden="1" customHeight="1" outlineLevel="1" x14ac:dyDescent="0.35">
      <c r="B69" s="7" t="s">
        <v>52</v>
      </c>
      <c r="C69" s="65">
        <f>MACC!$E$36</f>
        <v>15</v>
      </c>
      <c r="E69" s="63" t="s">
        <v>53</v>
      </c>
      <c r="F69" s="9" t="s">
        <v>234</v>
      </c>
    </row>
    <row r="70" spans="1:6" ht="15" hidden="1" customHeight="1" outlineLevel="1" x14ac:dyDescent="0.35">
      <c r="B70" s="7" t="s">
        <v>256</v>
      </c>
      <c r="C70" s="67">
        <f>MACC!$E$42</f>
        <v>0.4</v>
      </c>
      <c r="F70" s="9" t="s">
        <v>257</v>
      </c>
    </row>
    <row r="71" spans="1:6" ht="15" hidden="1" customHeight="1" outlineLevel="1" x14ac:dyDescent="0.35">
      <c r="B71" s="7" t="s">
        <v>203</v>
      </c>
      <c r="C71" s="68">
        <v>25</v>
      </c>
      <c r="E71" s="63" t="s">
        <v>204</v>
      </c>
    </row>
    <row r="72" spans="1:6" ht="15" hidden="1" customHeight="1" outlineLevel="1" x14ac:dyDescent="0.35">
      <c r="A72" s="60"/>
      <c r="B72" s="61" t="s">
        <v>205</v>
      </c>
      <c r="C72" s="60"/>
      <c r="D72" s="60"/>
      <c r="E72" s="60"/>
      <c r="F72" s="60"/>
    </row>
    <row r="73" spans="1:6" ht="15" hidden="1" customHeight="1" outlineLevel="1" x14ac:dyDescent="0.35">
      <c r="B73" s="7" t="s">
        <v>206</v>
      </c>
      <c r="C73" s="69">
        <f>C74*8760*C63*(1-C64)*C37*10^-3</f>
        <v>27594.000000000004</v>
      </c>
      <c r="E73" s="63" t="s">
        <v>207</v>
      </c>
    </row>
    <row r="74" spans="1:6" ht="15" hidden="1" customHeight="1" outlineLevel="1" x14ac:dyDescent="0.35">
      <c r="B74" s="7" t="s">
        <v>258</v>
      </c>
      <c r="C74" s="69">
        <v>10000</v>
      </c>
      <c r="E74" s="63" t="s">
        <v>209</v>
      </c>
      <c r="F74" s="5" t="s">
        <v>259</v>
      </c>
    </row>
    <row r="75" spans="1:6" ht="15" hidden="1" customHeight="1" outlineLevel="1" x14ac:dyDescent="0.35">
      <c r="A75" s="60"/>
      <c r="B75" s="61" t="s">
        <v>211</v>
      </c>
      <c r="C75" s="60"/>
      <c r="D75" s="60"/>
      <c r="E75" s="60"/>
      <c r="F75" s="60"/>
    </row>
    <row r="76" spans="1:6" ht="15" hidden="1" customHeight="1" outlineLevel="1" x14ac:dyDescent="0.35">
      <c r="B76" s="7" t="s">
        <v>260</v>
      </c>
      <c r="C76" s="71">
        <f>(C66*(1-C67)+C65*C67)*C74*10^-3</f>
        <v>8000</v>
      </c>
    </row>
    <row r="77" spans="1:6" ht="15" hidden="1" customHeight="1" outlineLevel="1" x14ac:dyDescent="0.35">
      <c r="B77" s="7" t="s">
        <v>261</v>
      </c>
      <c r="C77" s="71">
        <f>C76*C68</f>
        <v>1200</v>
      </c>
    </row>
    <row r="78" spans="1:6" ht="15" hidden="1" customHeight="1" outlineLevel="1" x14ac:dyDescent="0.35">
      <c r="A78" s="72"/>
      <c r="B78" s="73" t="s">
        <v>215</v>
      </c>
      <c r="C78" s="74">
        <f>SUM(C76:C77)</f>
        <v>9200</v>
      </c>
      <c r="D78" s="72"/>
      <c r="E78" s="72"/>
      <c r="F78" s="72"/>
    </row>
    <row r="79" spans="1:6" ht="15" hidden="1" customHeight="1" outlineLevel="1" x14ac:dyDescent="0.35">
      <c r="A79" s="60"/>
      <c r="B79" s="61" t="s">
        <v>216</v>
      </c>
      <c r="C79" s="60"/>
      <c r="D79" s="60"/>
      <c r="E79" s="60"/>
      <c r="F79" s="60"/>
    </row>
    <row r="80" spans="1:6" ht="15" hidden="1" customHeight="1" outlineLevel="1" x14ac:dyDescent="0.35">
      <c r="B80" s="7" t="s">
        <v>262</v>
      </c>
      <c r="C80" s="71">
        <f>C78*0.015</f>
        <v>138</v>
      </c>
      <c r="F80" s="9" t="s">
        <v>263</v>
      </c>
    </row>
    <row r="81" spans="1:7" ht="15" hidden="1" customHeight="1" outlineLevel="1" x14ac:dyDescent="0.35">
      <c r="B81" s="7" t="s">
        <v>244</v>
      </c>
      <c r="C81" s="71">
        <f>-C73*1000/(C70*44/12)*C69/10^6</f>
        <v>-282.21136363636361</v>
      </c>
      <c r="F81" s="9" t="s">
        <v>264</v>
      </c>
    </row>
    <row r="82" spans="1:7" ht="15" hidden="1" customHeight="1" outlineLevel="1" x14ac:dyDescent="0.35">
      <c r="A82" s="72"/>
      <c r="B82" s="73" t="s">
        <v>221</v>
      </c>
      <c r="C82" s="74">
        <f>SUM(C80:C81)</f>
        <v>-144.21136363636361</v>
      </c>
      <c r="D82" s="72"/>
      <c r="E82" s="72"/>
      <c r="F82" s="72"/>
    </row>
    <row r="83" spans="1:7" ht="15" hidden="1" customHeight="1" outlineLevel="1" x14ac:dyDescent="0.35">
      <c r="A83" s="60"/>
      <c r="B83" s="61" t="s">
        <v>222</v>
      </c>
      <c r="C83" s="60"/>
      <c r="D83" s="60"/>
      <c r="E83" s="60"/>
      <c r="F83" s="60"/>
    </row>
    <row r="84" spans="1:7" ht="15" hidden="1" customHeight="1" outlineLevel="1" x14ac:dyDescent="0.35">
      <c r="B84" s="84"/>
    </row>
    <row r="85" spans="1:7" ht="15" hidden="1" customHeight="1" outlineLevel="1" x14ac:dyDescent="0.35">
      <c r="B85" s="77" t="s">
        <v>223</v>
      </c>
      <c r="C85" s="78">
        <f>C78</f>
        <v>9200</v>
      </c>
      <c r="E85" s="63" t="s">
        <v>224</v>
      </c>
    </row>
    <row r="86" spans="1:7" ht="15" hidden="1" customHeight="1" outlineLevel="1" x14ac:dyDescent="0.35">
      <c r="B86" s="77" t="s">
        <v>225</v>
      </c>
      <c r="C86" s="78">
        <f>C82</f>
        <v>-144.21136363636361</v>
      </c>
      <c r="E86" s="63" t="s">
        <v>226</v>
      </c>
    </row>
    <row r="87" spans="1:7" ht="15" hidden="1" customHeight="1" outlineLevel="1" x14ac:dyDescent="0.35">
      <c r="B87" s="77" t="s">
        <v>203</v>
      </c>
      <c r="C87" s="79">
        <f>C71</f>
        <v>25</v>
      </c>
      <c r="E87" s="63" t="s">
        <v>204</v>
      </c>
    </row>
    <row r="88" spans="1:7" ht="15" hidden="1" customHeight="1" outlineLevel="1" x14ac:dyDescent="0.35">
      <c r="B88" s="77" t="s">
        <v>206</v>
      </c>
      <c r="C88" s="80">
        <f>C73</f>
        <v>27594.000000000004</v>
      </c>
      <c r="E88" s="63" t="s">
        <v>207</v>
      </c>
    </row>
    <row r="89" spans="1:7" collapsed="1" x14ac:dyDescent="0.35"/>
    <row r="90" spans="1:7" ht="15" customHeight="1" x14ac:dyDescent="0.35">
      <c r="A90" s="2" t="s">
        <v>265</v>
      </c>
      <c r="B90" s="2"/>
      <c r="C90" s="2"/>
      <c r="D90" s="2"/>
      <c r="E90" s="2"/>
      <c r="F90" s="2"/>
      <c r="G90" s="59">
        <v>1</v>
      </c>
    </row>
    <row r="91" spans="1:7" ht="15" hidden="1" customHeight="1" outlineLevel="1" x14ac:dyDescent="0.35">
      <c r="A91" s="60"/>
      <c r="B91" s="61" t="s">
        <v>190</v>
      </c>
      <c r="C91" s="60"/>
      <c r="D91" s="60"/>
      <c r="E91" s="60"/>
      <c r="F91" s="60"/>
    </row>
    <row r="92" spans="1:7" ht="15" hidden="1" customHeight="1" outlineLevel="1" x14ac:dyDescent="0.35">
      <c r="B92" s="7" t="s">
        <v>191</v>
      </c>
      <c r="C92" s="62">
        <f>Выбросы!C8</f>
        <v>135.30000000000001</v>
      </c>
      <c r="E92" s="63" t="s">
        <v>192</v>
      </c>
      <c r="F92" s="9" t="s">
        <v>193</v>
      </c>
    </row>
    <row r="93" spans="1:7" ht="15" hidden="1" customHeight="1" outlineLevel="1" x14ac:dyDescent="0.35">
      <c r="B93" s="7" t="s">
        <v>194</v>
      </c>
      <c r="C93" s="81">
        <f>C112/C92/1000</f>
        <v>2.9782705099778265E-2</v>
      </c>
      <c r="F93" s="9" t="s">
        <v>228</v>
      </c>
    </row>
    <row r="94" spans="1:7" ht="15" hidden="1" customHeight="1" outlineLevel="1" x14ac:dyDescent="0.35">
      <c r="B94" s="7" t="s">
        <v>266</v>
      </c>
      <c r="C94" s="66">
        <f>C139</f>
        <v>0.35000000000000003</v>
      </c>
      <c r="F94" s="9" t="s">
        <v>267</v>
      </c>
    </row>
    <row r="95" spans="1:7" ht="15" hidden="1" customHeight="1" outlineLevel="1" x14ac:dyDescent="0.35">
      <c r="B95" s="7" t="s">
        <v>268</v>
      </c>
      <c r="C95" s="70">
        <f>C140</f>
        <v>800</v>
      </c>
      <c r="E95" s="63" t="s">
        <v>72</v>
      </c>
      <c r="F95" s="9" t="s">
        <v>269</v>
      </c>
    </row>
    <row r="96" spans="1:7" ht="15" hidden="1" customHeight="1" outlineLevel="1" x14ac:dyDescent="0.35">
      <c r="B96" s="7" t="s">
        <v>270</v>
      </c>
      <c r="C96" s="70">
        <v>3000</v>
      </c>
      <c r="E96" s="63" t="s">
        <v>72</v>
      </c>
      <c r="F96" s="9"/>
    </row>
    <row r="97" spans="1:6" ht="15" hidden="1" customHeight="1" outlineLevel="1" x14ac:dyDescent="0.35">
      <c r="B97" s="7" t="s">
        <v>271</v>
      </c>
      <c r="C97" s="65">
        <f>MACC!$E$49</f>
        <v>1000</v>
      </c>
      <c r="E97" s="63" t="s">
        <v>72</v>
      </c>
      <c r="F97" s="9" t="s">
        <v>79</v>
      </c>
    </row>
    <row r="98" spans="1:6" ht="15" hidden="1" customHeight="1" outlineLevel="1" x14ac:dyDescent="0.35">
      <c r="B98" s="7" t="s">
        <v>272</v>
      </c>
      <c r="C98" s="85">
        <v>0.47</v>
      </c>
      <c r="E98" s="63"/>
      <c r="F98" s="9"/>
    </row>
    <row r="99" spans="1:6" ht="15" hidden="1" customHeight="1" outlineLevel="1" x14ac:dyDescent="0.35">
      <c r="B99" s="7" t="s">
        <v>273</v>
      </c>
      <c r="C99" s="70">
        <v>200</v>
      </c>
      <c r="E99" s="63" t="s">
        <v>88</v>
      </c>
      <c r="F99" s="9" t="s">
        <v>274</v>
      </c>
    </row>
    <row r="100" spans="1:6" ht="15" hidden="1" customHeight="1" outlineLevel="1" x14ac:dyDescent="0.35">
      <c r="B100" s="7" t="s">
        <v>275</v>
      </c>
      <c r="C100" s="66">
        <f>H115*10^3/8760/C103</f>
        <v>400</v>
      </c>
      <c r="F100" s="9"/>
    </row>
    <row r="101" spans="1:6" ht="15" hidden="1" customHeight="1" outlineLevel="1" x14ac:dyDescent="0.35">
      <c r="B101" s="7" t="s">
        <v>276</v>
      </c>
      <c r="C101" s="8">
        <v>0.55000000000000004</v>
      </c>
      <c r="F101" s="9"/>
    </row>
    <row r="102" spans="1:6" ht="15" hidden="1" customHeight="1" outlineLevel="1" x14ac:dyDescent="0.35">
      <c r="B102" s="7" t="s">
        <v>277</v>
      </c>
      <c r="C102" s="8">
        <v>0.2</v>
      </c>
      <c r="F102" s="9"/>
    </row>
    <row r="103" spans="1:6" ht="15" hidden="1" customHeight="1" outlineLevel="1" x14ac:dyDescent="0.35">
      <c r="B103" s="7" t="s">
        <v>278</v>
      </c>
      <c r="C103" s="8">
        <v>0.3</v>
      </c>
      <c r="F103" s="9"/>
    </row>
    <row r="104" spans="1:6" ht="15" hidden="1" customHeight="1" outlineLevel="1" x14ac:dyDescent="0.35">
      <c r="B104" s="7" t="s">
        <v>279</v>
      </c>
      <c r="C104" s="8">
        <v>0.4</v>
      </c>
      <c r="F104" s="9" t="s">
        <v>280</v>
      </c>
    </row>
    <row r="105" spans="1:6" ht="15" hidden="1" customHeight="1" outlineLevel="1" x14ac:dyDescent="0.35">
      <c r="B105" s="7" t="s">
        <v>281</v>
      </c>
      <c r="C105" s="8">
        <v>0.15</v>
      </c>
      <c r="F105" s="9" t="s">
        <v>282</v>
      </c>
    </row>
    <row r="106" spans="1:6" ht="15" hidden="1" customHeight="1" outlineLevel="1" x14ac:dyDescent="0.35">
      <c r="B106" s="7" t="s">
        <v>52</v>
      </c>
      <c r="C106" s="65">
        <f>MACC!$E$36</f>
        <v>15</v>
      </c>
      <c r="E106" s="63" t="s">
        <v>53</v>
      </c>
    </row>
    <row r="107" spans="1:6" ht="15" hidden="1" customHeight="1" outlineLevel="1" x14ac:dyDescent="0.35">
      <c r="B107" s="7" t="s">
        <v>55</v>
      </c>
      <c r="C107" s="65">
        <f>MACC!$E$37</f>
        <v>250</v>
      </c>
      <c r="E107" s="63" t="s">
        <v>283</v>
      </c>
    </row>
    <row r="108" spans="1:6" ht="15" hidden="1" customHeight="1" outlineLevel="1" x14ac:dyDescent="0.35">
      <c r="B108" s="7" t="s">
        <v>256</v>
      </c>
      <c r="C108" s="67">
        <f>MACC!$E$42</f>
        <v>0.4</v>
      </c>
    </row>
    <row r="109" spans="1:6" ht="15" hidden="1" customHeight="1" outlineLevel="1" x14ac:dyDescent="0.35">
      <c r="B109" s="7" t="s">
        <v>203</v>
      </c>
      <c r="C109" s="68">
        <v>25</v>
      </c>
      <c r="E109" s="63" t="s">
        <v>204</v>
      </c>
    </row>
    <row r="110" spans="1:6" ht="15" hidden="1" customHeight="1" outlineLevel="1" x14ac:dyDescent="0.35">
      <c r="B110" s="7" t="s">
        <v>284</v>
      </c>
      <c r="C110" s="86">
        <f>G115-G114+H115</f>
        <v>4117.2</v>
      </c>
      <c r="E110" s="63"/>
    </row>
    <row r="111" spans="1:6" ht="15" hidden="1" customHeight="1" outlineLevel="1" x14ac:dyDescent="0.35">
      <c r="A111" s="60"/>
      <c r="B111" s="61" t="s">
        <v>205</v>
      </c>
      <c r="C111" s="60"/>
      <c r="D111" s="60"/>
      <c r="E111" s="60"/>
      <c r="F111" s="60"/>
    </row>
    <row r="112" spans="1:6" ht="15" hidden="1" customHeight="1" outlineLevel="1" x14ac:dyDescent="0.35">
      <c r="B112" s="7" t="s">
        <v>206</v>
      </c>
      <c r="C112" s="69">
        <f>$G$115*$C$37-$G$114*$C$38</f>
        <v>4029.6</v>
      </c>
      <c r="E112" s="63" t="s">
        <v>207</v>
      </c>
      <c r="F112" s="9" t="s">
        <v>285</v>
      </c>
    </row>
    <row r="113" spans="1:8" ht="15" hidden="1" customHeight="1" outlineLevel="1" x14ac:dyDescent="0.35">
      <c r="B113" s="7" t="s">
        <v>286</v>
      </c>
      <c r="C113" s="69">
        <f>C110/8760/C94*10^3</f>
        <v>1342.8571428571427</v>
      </c>
      <c r="E113" s="63" t="s">
        <v>209</v>
      </c>
      <c r="G113" s="5" t="s">
        <v>287</v>
      </c>
      <c r="H113" s="5" t="s">
        <v>288</v>
      </c>
    </row>
    <row r="114" spans="1:8" ht="15" hidden="1" customHeight="1" outlineLevel="1" x14ac:dyDescent="0.35">
      <c r="B114" s="7" t="s">
        <v>289</v>
      </c>
      <c r="C114" s="69">
        <f>C115</f>
        <v>1000</v>
      </c>
      <c r="E114" s="63" t="s">
        <v>209</v>
      </c>
      <c r="G114" s="5">
        <f>C114*8760*C102*10^-3</f>
        <v>1752</v>
      </c>
    </row>
    <row r="115" spans="1:8" ht="15" hidden="1" customHeight="1" outlineLevel="1" x14ac:dyDescent="0.35">
      <c r="B115" s="7" t="s">
        <v>290</v>
      </c>
      <c r="C115" s="83">
        <v>1000</v>
      </c>
      <c r="E115" s="63" t="s">
        <v>209</v>
      </c>
      <c r="G115" s="5">
        <f>C115*8760*C101*10^-3</f>
        <v>4818</v>
      </c>
      <c r="H115" s="5">
        <f>C115*C104*C103*8760*10^-3</f>
        <v>1051.2</v>
      </c>
    </row>
    <row r="116" spans="1:8" ht="15" hidden="1" customHeight="1" outlineLevel="1" x14ac:dyDescent="0.35">
      <c r="A116" s="60"/>
      <c r="B116" s="61" t="s">
        <v>211</v>
      </c>
      <c r="C116" s="60"/>
      <c r="D116" s="60"/>
      <c r="E116" s="60"/>
      <c r="F116" s="60"/>
    </row>
    <row r="117" spans="1:8" ht="15" hidden="1" customHeight="1" outlineLevel="1" x14ac:dyDescent="0.35">
      <c r="B117" s="7" t="s">
        <v>291</v>
      </c>
      <c r="C117" s="71">
        <f>C113*C95/1000</f>
        <v>1074.285714285714</v>
      </c>
    </row>
    <row r="118" spans="1:8" ht="15" hidden="1" customHeight="1" outlineLevel="1" x14ac:dyDescent="0.35">
      <c r="B118" s="7" t="s">
        <v>292</v>
      </c>
      <c r="C118" s="71">
        <f>C105*C120</f>
        <v>150</v>
      </c>
      <c r="F118" s="9" t="s">
        <v>293</v>
      </c>
    </row>
    <row r="119" spans="1:8" ht="15" hidden="1" customHeight="1" outlineLevel="1" x14ac:dyDescent="0.35">
      <c r="B119" s="7" t="s">
        <v>294</v>
      </c>
      <c r="C119" s="71">
        <f>-C114*C96/1000</f>
        <v>-3000</v>
      </c>
    </row>
    <row r="120" spans="1:8" ht="15" hidden="1" customHeight="1" outlineLevel="1" x14ac:dyDescent="0.35">
      <c r="B120" s="7" t="s">
        <v>295</v>
      </c>
      <c r="C120" s="71">
        <f>C114*C97/1000</f>
        <v>1000</v>
      </c>
    </row>
    <row r="121" spans="1:8" ht="15" hidden="1" customHeight="1" outlineLevel="1" x14ac:dyDescent="0.35">
      <c r="B121" s="7" t="s">
        <v>296</v>
      </c>
      <c r="C121" s="71">
        <f>C100*C99/1000</f>
        <v>80</v>
      </c>
      <c r="F121" s="9" t="s">
        <v>297</v>
      </c>
    </row>
    <row r="122" spans="1:8" ht="15" hidden="1" customHeight="1" outlineLevel="1" x14ac:dyDescent="0.35">
      <c r="A122" s="72"/>
      <c r="B122" s="73" t="s">
        <v>215</v>
      </c>
      <c r="C122" s="74">
        <f>SUM(C117:C121)</f>
        <v>-695.71428571428601</v>
      </c>
      <c r="D122" s="72"/>
      <c r="E122" s="72"/>
      <c r="F122" s="72"/>
    </row>
    <row r="123" spans="1:8" ht="15" hidden="1" customHeight="1" outlineLevel="1" x14ac:dyDescent="0.35">
      <c r="A123" s="60"/>
      <c r="B123" s="61" t="s">
        <v>216</v>
      </c>
      <c r="C123" s="60"/>
      <c r="D123" s="60"/>
      <c r="E123" s="60"/>
      <c r="F123" s="60"/>
    </row>
    <row r="124" spans="1:8" ht="15" hidden="1" customHeight="1" outlineLevel="1" x14ac:dyDescent="0.35">
      <c r="B124" s="7" t="s">
        <v>217</v>
      </c>
      <c r="C124" s="71">
        <f>C122*0.015</f>
        <v>-10.43571428571429</v>
      </c>
    </row>
    <row r="125" spans="1:8" ht="15" hidden="1" customHeight="1" outlineLevel="1" x14ac:dyDescent="0.35">
      <c r="B125" s="7" t="s">
        <v>298</v>
      </c>
      <c r="C125" s="71">
        <f>C115*E125*12*10^-3*0</f>
        <v>0</v>
      </c>
      <c r="E125" s="76">
        <v>-2</v>
      </c>
      <c r="F125" s="9" t="s">
        <v>299</v>
      </c>
    </row>
    <row r="126" spans="1:8" ht="15" hidden="1" customHeight="1" outlineLevel="1" x14ac:dyDescent="0.35">
      <c r="B126" s="7" t="s">
        <v>300</v>
      </c>
      <c r="C126" s="71">
        <f>E126*C107*10^-3</f>
        <v>98.090308484627798</v>
      </c>
      <c r="E126" s="76">
        <f>G114*10^3*(123/C98)*10^-6*7000/8180</f>
        <v>392.36123393851119</v>
      </c>
      <c r="F126" s="9" t="s">
        <v>243</v>
      </c>
    </row>
    <row r="127" spans="1:8" ht="15" hidden="1" customHeight="1" outlineLevel="1" x14ac:dyDescent="0.35">
      <c r="B127" s="7" t="s">
        <v>244</v>
      </c>
      <c r="C127" s="71">
        <f>E127*C106</f>
        <v>-10.987012987012983</v>
      </c>
      <c r="E127" s="76">
        <f>-C117*1000/(C108*44/12)/10^6</f>
        <v>-0.73246753246753227</v>
      </c>
      <c r="F127" s="9" t="s">
        <v>220</v>
      </c>
    </row>
    <row r="128" spans="1:8" ht="15" hidden="1" customHeight="1" outlineLevel="1" x14ac:dyDescent="0.35">
      <c r="A128" s="72"/>
      <c r="B128" s="73" t="s">
        <v>221</v>
      </c>
      <c r="C128" s="74">
        <f>SUM(C124:C127)</f>
        <v>76.667581211900526</v>
      </c>
      <c r="D128" s="72"/>
      <c r="E128" s="72"/>
      <c r="F128" s="72"/>
    </row>
    <row r="129" spans="1:7" ht="15" hidden="1" customHeight="1" outlineLevel="1" x14ac:dyDescent="0.35">
      <c r="A129" s="60"/>
      <c r="B129" s="61" t="s">
        <v>222</v>
      </c>
      <c r="C129" s="60"/>
      <c r="D129" s="60"/>
      <c r="E129" s="60"/>
      <c r="F129" s="60"/>
    </row>
    <row r="130" spans="1:7" ht="15" hidden="1" customHeight="1" outlineLevel="1" x14ac:dyDescent="0.35">
      <c r="B130" s="77" t="s">
        <v>223</v>
      </c>
      <c r="C130" s="78">
        <f>C122</f>
        <v>-695.71428571428601</v>
      </c>
      <c r="E130" s="63" t="s">
        <v>224</v>
      </c>
    </row>
    <row r="131" spans="1:7" ht="15" hidden="1" customHeight="1" outlineLevel="1" x14ac:dyDescent="0.35">
      <c r="B131" s="77" t="s">
        <v>225</v>
      </c>
      <c r="C131" s="78">
        <f>C128</f>
        <v>76.667581211900526</v>
      </c>
      <c r="E131" s="63" t="s">
        <v>226</v>
      </c>
    </row>
    <row r="132" spans="1:7" ht="15" hidden="1" customHeight="1" outlineLevel="1" x14ac:dyDescent="0.35">
      <c r="B132" s="77" t="s">
        <v>203</v>
      </c>
      <c r="C132" s="79">
        <f>C109</f>
        <v>25</v>
      </c>
      <c r="E132" s="63" t="s">
        <v>204</v>
      </c>
    </row>
    <row r="133" spans="1:7" ht="15" hidden="1" customHeight="1" outlineLevel="1" x14ac:dyDescent="0.35">
      <c r="B133" s="77" t="s">
        <v>206</v>
      </c>
      <c r="C133" s="80">
        <f>C112</f>
        <v>4029.6</v>
      </c>
      <c r="E133" s="63" t="s">
        <v>207</v>
      </c>
    </row>
    <row r="134" spans="1:7" collapsed="1" x14ac:dyDescent="0.35"/>
    <row r="135" spans="1:7" ht="15" customHeight="1" x14ac:dyDescent="0.35">
      <c r="A135" s="2" t="s">
        <v>301</v>
      </c>
      <c r="B135" s="2"/>
      <c r="C135" s="2"/>
      <c r="D135" s="2"/>
      <c r="E135" s="2"/>
      <c r="F135" s="2"/>
      <c r="G135" s="59">
        <v>1</v>
      </c>
    </row>
    <row r="136" spans="1:7" ht="15" hidden="1" customHeight="1" outlineLevel="1" x14ac:dyDescent="0.35">
      <c r="A136" s="60"/>
      <c r="B136" s="61" t="s">
        <v>190</v>
      </c>
      <c r="C136" s="60"/>
      <c r="D136" s="60"/>
      <c r="E136" s="60"/>
      <c r="F136" s="60"/>
    </row>
    <row r="137" spans="1:7" ht="15" hidden="1" customHeight="1" outlineLevel="1" x14ac:dyDescent="0.35">
      <c r="B137" s="7" t="s">
        <v>191</v>
      </c>
      <c r="C137" s="62">
        <f>Выбросы!C8</f>
        <v>135.30000000000001</v>
      </c>
      <c r="E137" s="63" t="s">
        <v>192</v>
      </c>
      <c r="F137" s="9" t="s">
        <v>193</v>
      </c>
    </row>
    <row r="138" spans="1:7" ht="15" hidden="1" customHeight="1" outlineLevel="1" x14ac:dyDescent="0.35">
      <c r="B138" s="7" t="s">
        <v>194</v>
      </c>
      <c r="C138" s="81">
        <f>C155/C137/1000</f>
        <v>0.20847893569844789</v>
      </c>
      <c r="F138" s="9" t="s">
        <v>228</v>
      </c>
    </row>
    <row r="139" spans="1:7" ht="15" hidden="1" customHeight="1" outlineLevel="1" x14ac:dyDescent="0.35">
      <c r="B139" s="7" t="s">
        <v>266</v>
      </c>
      <c r="C139" s="66">
        <f>C63</f>
        <v>0.35000000000000003</v>
      </c>
      <c r="F139" s="9" t="s">
        <v>267</v>
      </c>
      <c r="G139" s="87"/>
    </row>
    <row r="140" spans="1:7" ht="15" hidden="1" customHeight="1" outlineLevel="1" x14ac:dyDescent="0.35">
      <c r="B140" s="7" t="s">
        <v>268</v>
      </c>
      <c r="C140" s="70">
        <f>(C66*(1-C67)+C65*C67)</f>
        <v>800</v>
      </c>
      <c r="E140" s="63" t="s">
        <v>72</v>
      </c>
      <c r="F140" s="9" t="s">
        <v>269</v>
      </c>
    </row>
    <row r="141" spans="1:7" ht="15" hidden="1" customHeight="1" outlineLevel="1" x14ac:dyDescent="0.35">
      <c r="B141" s="7" t="s">
        <v>302</v>
      </c>
      <c r="C141" s="70">
        <v>1000</v>
      </c>
      <c r="E141" s="63" t="s">
        <v>72</v>
      </c>
      <c r="F141" s="9"/>
    </row>
    <row r="142" spans="1:7" ht="15" hidden="1" customHeight="1" outlineLevel="1" x14ac:dyDescent="0.35">
      <c r="B142" s="7" t="s">
        <v>271</v>
      </c>
      <c r="C142" s="65">
        <f>MACC!$E$49</f>
        <v>1000</v>
      </c>
      <c r="E142" s="63" t="s">
        <v>72</v>
      </c>
      <c r="F142" s="9" t="s">
        <v>79</v>
      </c>
    </row>
    <row r="143" spans="1:7" ht="15" hidden="1" customHeight="1" outlineLevel="1" x14ac:dyDescent="0.35">
      <c r="B143" s="7" t="s">
        <v>303</v>
      </c>
      <c r="C143" s="70">
        <v>100</v>
      </c>
      <c r="E143" s="63" t="s">
        <v>88</v>
      </c>
      <c r="F143" s="9" t="s">
        <v>304</v>
      </c>
    </row>
    <row r="144" spans="1:7" ht="15" hidden="1" customHeight="1" outlineLevel="1" x14ac:dyDescent="0.35">
      <c r="B144" s="7" t="s">
        <v>275</v>
      </c>
      <c r="C144" s="66">
        <f>H158*10^3/8760/C147</f>
        <v>2800.0000000000005</v>
      </c>
      <c r="F144" s="9"/>
    </row>
    <row r="145" spans="1:8" ht="15" hidden="1" customHeight="1" outlineLevel="1" x14ac:dyDescent="0.35">
      <c r="B145" s="7" t="s">
        <v>276</v>
      </c>
      <c r="C145" s="8">
        <v>0.55000000000000004</v>
      </c>
      <c r="F145" s="9"/>
    </row>
    <row r="146" spans="1:8" ht="15" hidden="1" customHeight="1" outlineLevel="1" x14ac:dyDescent="0.35">
      <c r="B146" s="7" t="s">
        <v>277</v>
      </c>
      <c r="C146" s="8">
        <v>0.2</v>
      </c>
      <c r="F146" s="9"/>
    </row>
    <row r="147" spans="1:8" ht="15" hidden="1" customHeight="1" outlineLevel="1" x14ac:dyDescent="0.35">
      <c r="B147" s="7" t="s">
        <v>278</v>
      </c>
      <c r="C147" s="8">
        <v>0.3</v>
      </c>
      <c r="F147" s="9"/>
    </row>
    <row r="148" spans="1:8" ht="15" hidden="1" customHeight="1" outlineLevel="1" x14ac:dyDescent="0.35">
      <c r="B148" s="7" t="s">
        <v>305</v>
      </c>
      <c r="C148" s="8">
        <v>0.4</v>
      </c>
      <c r="F148" s="9"/>
    </row>
    <row r="149" spans="1:8" ht="15" hidden="1" customHeight="1" outlineLevel="1" x14ac:dyDescent="0.35">
      <c r="B149" s="7" t="s">
        <v>52</v>
      </c>
      <c r="C149" s="65">
        <f>MACC!$E$36</f>
        <v>15</v>
      </c>
      <c r="E149" s="63" t="s">
        <v>53</v>
      </c>
    </row>
    <row r="150" spans="1:8" ht="15" hidden="1" customHeight="1" outlineLevel="1" x14ac:dyDescent="0.35">
      <c r="B150" s="7" t="s">
        <v>55</v>
      </c>
      <c r="C150" s="65">
        <f>MACC!$E$37</f>
        <v>250</v>
      </c>
      <c r="E150" s="63" t="s">
        <v>283</v>
      </c>
    </row>
    <row r="151" spans="1:8" ht="15" hidden="1" customHeight="1" outlineLevel="1" x14ac:dyDescent="0.35">
      <c r="B151" s="7" t="s">
        <v>256</v>
      </c>
      <c r="C151" s="67">
        <f>MACC!$E$42</f>
        <v>0.4</v>
      </c>
    </row>
    <row r="152" spans="1:8" ht="15" hidden="1" customHeight="1" outlineLevel="1" x14ac:dyDescent="0.35">
      <c r="B152" s="7" t="s">
        <v>203</v>
      </c>
      <c r="C152" s="68">
        <v>25</v>
      </c>
      <c r="E152" s="63" t="s">
        <v>204</v>
      </c>
    </row>
    <row r="153" spans="1:8" ht="15" hidden="1" customHeight="1" outlineLevel="1" x14ac:dyDescent="0.35">
      <c r="B153" s="7" t="s">
        <v>284</v>
      </c>
      <c r="C153" s="86">
        <f>G156</f>
        <v>21462</v>
      </c>
      <c r="E153" s="63"/>
    </row>
    <row r="154" spans="1:8" ht="15" hidden="1" customHeight="1" outlineLevel="1" x14ac:dyDescent="0.35">
      <c r="A154" s="60"/>
      <c r="B154" s="61" t="s">
        <v>205</v>
      </c>
      <c r="C154" s="60"/>
      <c r="D154" s="60"/>
      <c r="E154" s="60"/>
      <c r="F154" s="60"/>
    </row>
    <row r="155" spans="1:8" ht="15" hidden="1" customHeight="1" outlineLevel="1" x14ac:dyDescent="0.35">
      <c r="B155" s="7" t="s">
        <v>206</v>
      </c>
      <c r="C155" s="69">
        <f>$G$158*$C$37-$G$157*$C$38</f>
        <v>28207.200000000001</v>
      </c>
      <c r="E155" s="63" t="s">
        <v>207</v>
      </c>
      <c r="G155" s="5" t="s">
        <v>306</v>
      </c>
      <c r="H155" s="5" t="s">
        <v>307</v>
      </c>
    </row>
    <row r="156" spans="1:8" ht="15" hidden="1" customHeight="1" outlineLevel="1" x14ac:dyDescent="0.35">
      <c r="B156" s="7" t="s">
        <v>286</v>
      </c>
      <c r="C156" s="69">
        <f>C153/8760/C139*10^3</f>
        <v>7000</v>
      </c>
      <c r="E156" s="63" t="s">
        <v>209</v>
      </c>
      <c r="G156" s="5">
        <f>G158-G157</f>
        <v>21462</v>
      </c>
    </row>
    <row r="157" spans="1:8" ht="15" hidden="1" customHeight="1" outlineLevel="1" x14ac:dyDescent="0.35">
      <c r="B157" s="7" t="s">
        <v>289</v>
      </c>
      <c r="C157" s="69">
        <f>C158</f>
        <v>7000</v>
      </c>
      <c r="E157" s="63" t="s">
        <v>209</v>
      </c>
      <c r="G157" s="5">
        <f>C157*8760*C146*10^-3</f>
        <v>12264</v>
      </c>
    </row>
    <row r="158" spans="1:8" ht="15" hidden="1" customHeight="1" outlineLevel="1" x14ac:dyDescent="0.35">
      <c r="B158" s="7" t="s">
        <v>290</v>
      </c>
      <c r="C158" s="83">
        <v>7000</v>
      </c>
      <c r="E158" s="63" t="s">
        <v>209</v>
      </c>
      <c r="G158" s="5">
        <f>C158*8760*C145*10^-3</f>
        <v>33726</v>
      </c>
      <c r="H158" s="5">
        <f>C158*C148*C147*8760*10^-3</f>
        <v>7358.4000000000005</v>
      </c>
    </row>
    <row r="159" spans="1:8" ht="15" hidden="1" customHeight="1" outlineLevel="1" x14ac:dyDescent="0.35">
      <c r="A159" s="60"/>
      <c r="B159" s="61" t="s">
        <v>211</v>
      </c>
      <c r="C159" s="60"/>
      <c r="D159" s="60"/>
      <c r="E159" s="60"/>
      <c r="F159" s="60"/>
    </row>
    <row r="160" spans="1:8" ht="15" hidden="1" customHeight="1" outlineLevel="1" x14ac:dyDescent="0.35">
      <c r="B160" s="7" t="s">
        <v>308</v>
      </c>
      <c r="C160" s="71">
        <f>C156*C140/1000</f>
        <v>5600</v>
      </c>
    </row>
    <row r="161" spans="1:6" ht="15" hidden="1" customHeight="1" outlineLevel="1" x14ac:dyDescent="0.35">
      <c r="B161" s="7" t="s">
        <v>309</v>
      </c>
      <c r="C161" s="71">
        <f>C157*C142/1000</f>
        <v>7000</v>
      </c>
    </row>
    <row r="162" spans="1:6" ht="15" hidden="1" customHeight="1" outlineLevel="1" x14ac:dyDescent="0.35">
      <c r="B162" s="7" t="s">
        <v>310</v>
      </c>
      <c r="C162" s="71">
        <f>-C141*C158*10^-3</f>
        <v>-7000</v>
      </c>
    </row>
    <row r="163" spans="1:6" ht="15" hidden="1" customHeight="1" outlineLevel="1" x14ac:dyDescent="0.35">
      <c r="B163" s="7" t="s">
        <v>296</v>
      </c>
      <c r="C163" s="71">
        <f>C144*C143/1000</f>
        <v>280.00000000000006</v>
      </c>
      <c r="F163" s="9" t="s">
        <v>297</v>
      </c>
    </row>
    <row r="164" spans="1:6" ht="15" hidden="1" customHeight="1" outlineLevel="1" x14ac:dyDescent="0.35">
      <c r="A164" s="72"/>
      <c r="B164" s="73" t="s">
        <v>215</v>
      </c>
      <c r="C164" s="74">
        <f>SUM(C160:C163)</f>
        <v>5880</v>
      </c>
      <c r="D164" s="72"/>
      <c r="E164" s="72"/>
      <c r="F164" s="72"/>
    </row>
    <row r="165" spans="1:6" ht="15" hidden="1" customHeight="1" outlineLevel="1" x14ac:dyDescent="0.35">
      <c r="A165" s="60"/>
      <c r="B165" s="61" t="s">
        <v>216</v>
      </c>
      <c r="C165" s="60"/>
      <c r="D165" s="60"/>
      <c r="E165" s="60"/>
      <c r="F165" s="60"/>
    </row>
    <row r="166" spans="1:6" ht="15" hidden="1" customHeight="1" outlineLevel="1" x14ac:dyDescent="0.35">
      <c r="B166" s="7" t="s">
        <v>217</v>
      </c>
      <c r="C166" s="71">
        <f>C164*0.015</f>
        <v>88.2</v>
      </c>
    </row>
    <row r="167" spans="1:6" ht="15" hidden="1" customHeight="1" outlineLevel="1" x14ac:dyDescent="0.35">
      <c r="B167" s="7" t="s">
        <v>298</v>
      </c>
      <c r="C167" s="71">
        <f>C158*E167*12*10^-3</f>
        <v>-168</v>
      </c>
      <c r="E167" s="76">
        <v>-2</v>
      </c>
      <c r="F167" s="9" t="s">
        <v>311</v>
      </c>
    </row>
    <row r="168" spans="1:6" ht="15" hidden="1" customHeight="1" outlineLevel="1" x14ac:dyDescent="0.35">
      <c r="B168" s="7" t="s">
        <v>300</v>
      </c>
      <c r="C168" s="71">
        <f>E168*C150*10^-3</f>
        <v>918.30073349633244</v>
      </c>
      <c r="E168" s="76">
        <f>G157*10^3*350*10^-6*7000/8180</f>
        <v>3673.2029339853298</v>
      </c>
      <c r="F168" s="9" t="s">
        <v>243</v>
      </c>
    </row>
    <row r="169" spans="1:6" ht="15" hidden="1" customHeight="1" outlineLevel="1" x14ac:dyDescent="0.35">
      <c r="B169" s="7" t="s">
        <v>244</v>
      </c>
      <c r="C169" s="71">
        <f>E169*C149</f>
        <v>-57.272727272727266</v>
      </c>
      <c r="E169" s="76">
        <f>-C160*1000/(C151*44/12)/10^6</f>
        <v>-3.8181818181818179</v>
      </c>
      <c r="F169" s="9" t="s">
        <v>220</v>
      </c>
    </row>
    <row r="170" spans="1:6" ht="15" hidden="1" customHeight="1" outlineLevel="1" x14ac:dyDescent="0.35">
      <c r="A170" s="72"/>
      <c r="B170" s="73" t="s">
        <v>221</v>
      </c>
      <c r="C170" s="74">
        <f>SUM(C166:C169)</f>
        <v>781.22800622360523</v>
      </c>
      <c r="D170" s="72"/>
      <c r="E170" s="72"/>
      <c r="F170" s="72"/>
    </row>
    <row r="171" spans="1:6" ht="15" hidden="1" customHeight="1" outlineLevel="1" x14ac:dyDescent="0.35">
      <c r="A171" s="60"/>
      <c r="B171" s="61" t="s">
        <v>222</v>
      </c>
      <c r="C171" s="60"/>
      <c r="D171" s="60"/>
      <c r="E171" s="60"/>
      <c r="F171" s="60"/>
    </row>
    <row r="172" spans="1:6" ht="15" hidden="1" customHeight="1" outlineLevel="1" x14ac:dyDescent="0.35">
      <c r="B172" s="77" t="s">
        <v>223</v>
      </c>
      <c r="C172" s="78">
        <f>C164</f>
        <v>5880</v>
      </c>
      <c r="E172" s="63" t="s">
        <v>224</v>
      </c>
    </row>
    <row r="173" spans="1:6" ht="15" hidden="1" customHeight="1" outlineLevel="1" x14ac:dyDescent="0.35">
      <c r="B173" s="77" t="s">
        <v>225</v>
      </c>
      <c r="C173" s="78">
        <f>C170</f>
        <v>781.22800622360523</v>
      </c>
      <c r="E173" s="63" t="s">
        <v>226</v>
      </c>
    </row>
    <row r="174" spans="1:6" ht="15" hidden="1" customHeight="1" outlineLevel="1" x14ac:dyDescent="0.35">
      <c r="B174" s="77" t="s">
        <v>203</v>
      </c>
      <c r="C174" s="79">
        <f>C152</f>
        <v>25</v>
      </c>
      <c r="E174" s="63" t="s">
        <v>204</v>
      </c>
    </row>
    <row r="175" spans="1:6" ht="15" hidden="1" customHeight="1" outlineLevel="1" x14ac:dyDescent="0.35">
      <c r="B175" s="77" t="s">
        <v>206</v>
      </c>
      <c r="C175" s="80">
        <f>C155</f>
        <v>28207.200000000001</v>
      </c>
      <c r="E175" s="63" t="s">
        <v>207</v>
      </c>
    </row>
    <row r="176" spans="1:6" collapsed="1" x14ac:dyDescent="0.35"/>
    <row r="177" spans="1:7" ht="15" customHeight="1" x14ac:dyDescent="0.35">
      <c r="A177" s="2" t="s">
        <v>312</v>
      </c>
      <c r="B177" s="2"/>
      <c r="C177" s="2"/>
      <c r="D177" s="2"/>
      <c r="E177" s="2"/>
      <c r="F177" s="2"/>
      <c r="G177" s="59">
        <v>1</v>
      </c>
    </row>
    <row r="178" spans="1:7" ht="15" hidden="1" customHeight="1" outlineLevel="1" x14ac:dyDescent="0.35">
      <c r="A178" s="60"/>
      <c r="B178" s="61" t="s">
        <v>190</v>
      </c>
      <c r="C178" s="60"/>
      <c r="D178" s="60"/>
      <c r="E178" s="60"/>
      <c r="F178" s="60"/>
    </row>
    <row r="179" spans="1:7" ht="15" hidden="1" customHeight="1" outlineLevel="1" x14ac:dyDescent="0.35">
      <c r="B179" s="7" t="s">
        <v>191</v>
      </c>
      <c r="C179" s="62">
        <f>Выбросы!C8</f>
        <v>135.30000000000001</v>
      </c>
      <c r="E179" s="63" t="s">
        <v>192</v>
      </c>
      <c r="F179" s="9" t="s">
        <v>193</v>
      </c>
    </row>
    <row r="180" spans="1:7" ht="15" hidden="1" customHeight="1" outlineLevel="1" x14ac:dyDescent="0.35">
      <c r="B180" s="7" t="s">
        <v>194</v>
      </c>
      <c r="C180" s="81">
        <f>C190/C179/1000</f>
        <v>0.19811973392461199</v>
      </c>
      <c r="F180" s="9" t="s">
        <v>228</v>
      </c>
    </row>
    <row r="181" spans="1:7" ht="15" hidden="1" customHeight="1" outlineLevel="1" x14ac:dyDescent="0.35">
      <c r="B181" s="7" t="s">
        <v>313</v>
      </c>
      <c r="C181" s="65">
        <f>MACC!$E$50</f>
        <v>7700</v>
      </c>
      <c r="E181" s="63" t="s">
        <v>72</v>
      </c>
      <c r="F181" s="9" t="s">
        <v>81</v>
      </c>
    </row>
    <row r="182" spans="1:7" ht="15" hidden="1" customHeight="1" outlineLevel="1" x14ac:dyDescent="0.35">
      <c r="B182" s="7" t="s">
        <v>314</v>
      </c>
      <c r="C182" s="88">
        <v>1.3</v>
      </c>
      <c r="E182" s="63"/>
      <c r="F182" s="9"/>
    </row>
    <row r="183" spans="1:7" ht="15" hidden="1" customHeight="1" outlineLevel="1" x14ac:dyDescent="0.35">
      <c r="B183" s="7" t="s">
        <v>315</v>
      </c>
      <c r="C183" s="66">
        <v>0.85</v>
      </c>
      <c r="F183" s="9" t="s">
        <v>316</v>
      </c>
    </row>
    <row r="184" spans="1:7" ht="15" hidden="1" customHeight="1" outlineLevel="1" x14ac:dyDescent="0.35">
      <c r="B184" s="7" t="s">
        <v>317</v>
      </c>
      <c r="C184" s="70">
        <v>15</v>
      </c>
      <c r="E184" s="63" t="s">
        <v>59</v>
      </c>
      <c r="F184" s="9" t="s">
        <v>318</v>
      </c>
    </row>
    <row r="185" spans="1:7" ht="15" hidden="1" customHeight="1" outlineLevel="1" x14ac:dyDescent="0.35">
      <c r="B185" s="7" t="s">
        <v>319</v>
      </c>
      <c r="C185" s="70">
        <v>5</v>
      </c>
      <c r="E185" s="63" t="s">
        <v>59</v>
      </c>
      <c r="F185" s="9" t="s">
        <v>320</v>
      </c>
    </row>
    <row r="186" spans="1:7" ht="15" hidden="1" customHeight="1" outlineLevel="1" x14ac:dyDescent="0.35">
      <c r="B186" s="7" t="s">
        <v>52</v>
      </c>
      <c r="C186" s="65">
        <f>MACC!$E$36</f>
        <v>15</v>
      </c>
      <c r="E186" s="63" t="s">
        <v>53</v>
      </c>
    </row>
    <row r="187" spans="1:7" ht="15" hidden="1" customHeight="1" outlineLevel="1" x14ac:dyDescent="0.35">
      <c r="B187" s="7" t="s">
        <v>256</v>
      </c>
      <c r="C187" s="67">
        <f>MACC!$E$42</f>
        <v>0.4</v>
      </c>
    </row>
    <row r="188" spans="1:7" ht="15" hidden="1" customHeight="1" outlineLevel="1" x14ac:dyDescent="0.35">
      <c r="B188" s="7" t="s">
        <v>203</v>
      </c>
      <c r="C188" s="68">
        <v>60</v>
      </c>
      <c r="E188" s="63" t="s">
        <v>204</v>
      </c>
    </row>
    <row r="189" spans="1:7" ht="15" hidden="1" customHeight="1" outlineLevel="1" x14ac:dyDescent="0.35">
      <c r="A189" s="60"/>
      <c r="B189" s="61" t="s">
        <v>205</v>
      </c>
      <c r="C189" s="60"/>
      <c r="D189" s="60"/>
      <c r="E189" s="60"/>
      <c r="F189" s="60"/>
    </row>
    <row r="190" spans="1:7" ht="15" hidden="1" customHeight="1" outlineLevel="1" x14ac:dyDescent="0.35">
      <c r="B190" s="7" t="s">
        <v>206</v>
      </c>
      <c r="C190" s="69">
        <f>G191*C37*10^-3</f>
        <v>26805.600000000002</v>
      </c>
      <c r="E190" s="63" t="s">
        <v>207</v>
      </c>
    </row>
    <row r="191" spans="1:7" ht="15" hidden="1" customHeight="1" outlineLevel="1" x14ac:dyDescent="0.35">
      <c r="B191" s="7" t="s">
        <v>321</v>
      </c>
      <c r="C191" s="69">
        <v>3600</v>
      </c>
      <c r="E191" s="63" t="s">
        <v>209</v>
      </c>
      <c r="G191" s="5">
        <f>C191*8760*C183</f>
        <v>26805600</v>
      </c>
    </row>
    <row r="192" spans="1:7" ht="15" hidden="1" customHeight="1" outlineLevel="1" x14ac:dyDescent="0.35">
      <c r="B192" s="7" t="s">
        <v>287</v>
      </c>
      <c r="C192" s="69">
        <f>C191*8760*C183/1000</f>
        <v>26805.599999999999</v>
      </c>
      <c r="E192" s="63" t="s">
        <v>322</v>
      </c>
    </row>
    <row r="193" spans="1:7" ht="15" hidden="1" customHeight="1" outlineLevel="1" x14ac:dyDescent="0.35">
      <c r="A193" s="60"/>
      <c r="B193" s="61" t="s">
        <v>211</v>
      </c>
      <c r="C193" s="60"/>
      <c r="D193" s="60"/>
      <c r="E193" s="60"/>
      <c r="F193" s="60"/>
    </row>
    <row r="194" spans="1:7" ht="15" hidden="1" customHeight="1" outlineLevel="1" x14ac:dyDescent="0.35">
      <c r="B194" s="7" t="s">
        <v>323</v>
      </c>
      <c r="C194" s="71">
        <f>C191*C181/1000*C182</f>
        <v>36036</v>
      </c>
    </row>
    <row r="195" spans="1:7" ht="15" hidden="1" customHeight="1" outlineLevel="1" x14ac:dyDescent="0.35">
      <c r="A195" s="72"/>
      <c r="B195" s="73" t="s">
        <v>215</v>
      </c>
      <c r="C195" s="74">
        <f>SUM(C194:C194)</f>
        <v>36036</v>
      </c>
      <c r="D195" s="72"/>
      <c r="E195" s="72"/>
      <c r="F195" s="72"/>
    </row>
    <row r="196" spans="1:7" ht="15" hidden="1" customHeight="1" outlineLevel="1" x14ac:dyDescent="0.35">
      <c r="A196" s="60"/>
      <c r="B196" s="61" t="s">
        <v>216</v>
      </c>
      <c r="C196" s="60"/>
      <c r="D196" s="60"/>
      <c r="E196" s="60"/>
      <c r="F196" s="60"/>
    </row>
    <row r="197" spans="1:7" ht="15" hidden="1" customHeight="1" outlineLevel="1" x14ac:dyDescent="0.35">
      <c r="B197" s="7" t="s">
        <v>324</v>
      </c>
      <c r="C197" s="71">
        <f>C192*C184/1000</f>
        <v>402.084</v>
      </c>
    </row>
    <row r="198" spans="1:7" ht="15" hidden="1" customHeight="1" outlineLevel="1" x14ac:dyDescent="0.35">
      <c r="B198" s="7" t="s">
        <v>325</v>
      </c>
      <c r="C198" s="71">
        <f>C192*C185/1000</f>
        <v>134.02799999999999</v>
      </c>
    </row>
    <row r="199" spans="1:7" ht="15" hidden="1" customHeight="1" outlineLevel="1" x14ac:dyDescent="0.35">
      <c r="B199" s="7" t="s">
        <v>244</v>
      </c>
      <c r="C199" s="71">
        <f>E199*C186</f>
        <v>-274.14818181818185</v>
      </c>
      <c r="E199" s="76">
        <f>-C190*1000/(C187*44/12)/10^6</f>
        <v>-18.276545454545456</v>
      </c>
      <c r="F199" s="9" t="s">
        <v>220</v>
      </c>
    </row>
    <row r="200" spans="1:7" ht="15" hidden="1" customHeight="1" outlineLevel="1" x14ac:dyDescent="0.35">
      <c r="A200" s="72"/>
      <c r="B200" s="73" t="s">
        <v>221</v>
      </c>
      <c r="C200" s="74">
        <f>SUM(C197:C199)</f>
        <v>261.96381818181811</v>
      </c>
      <c r="D200" s="72"/>
      <c r="E200" s="72"/>
      <c r="F200" s="72"/>
    </row>
    <row r="201" spans="1:7" ht="15" hidden="1" customHeight="1" outlineLevel="1" x14ac:dyDescent="0.35">
      <c r="A201" s="60"/>
      <c r="B201" s="61" t="s">
        <v>222</v>
      </c>
      <c r="C201" s="60"/>
      <c r="D201" s="60"/>
      <c r="E201" s="60"/>
      <c r="F201" s="60"/>
    </row>
    <row r="202" spans="1:7" ht="15" hidden="1" customHeight="1" outlineLevel="1" x14ac:dyDescent="0.35">
      <c r="B202" s="77" t="s">
        <v>223</v>
      </c>
      <c r="C202" s="78">
        <f>C195</f>
        <v>36036</v>
      </c>
      <c r="E202" s="63" t="s">
        <v>224</v>
      </c>
    </row>
    <row r="203" spans="1:7" ht="15" hidden="1" customHeight="1" outlineLevel="1" x14ac:dyDescent="0.35">
      <c r="B203" s="77" t="s">
        <v>225</v>
      </c>
      <c r="C203" s="78">
        <f>C200</f>
        <v>261.96381818181811</v>
      </c>
      <c r="E203" s="63" t="s">
        <v>226</v>
      </c>
    </row>
    <row r="204" spans="1:7" ht="15" hidden="1" customHeight="1" outlineLevel="1" x14ac:dyDescent="0.35">
      <c r="B204" s="77" t="s">
        <v>203</v>
      </c>
      <c r="C204" s="79">
        <f>C188</f>
        <v>60</v>
      </c>
      <c r="E204" s="63" t="s">
        <v>204</v>
      </c>
    </row>
    <row r="205" spans="1:7" ht="15" hidden="1" customHeight="1" outlineLevel="1" x14ac:dyDescent="0.35">
      <c r="B205" s="77" t="s">
        <v>206</v>
      </c>
      <c r="C205" s="80">
        <f>C190</f>
        <v>26805.600000000002</v>
      </c>
      <c r="E205" s="63" t="s">
        <v>207</v>
      </c>
    </row>
    <row r="206" spans="1:7" collapsed="1" x14ac:dyDescent="0.35"/>
    <row r="207" spans="1:7" ht="15" customHeight="1" x14ac:dyDescent="0.35">
      <c r="A207" s="2" t="s">
        <v>326</v>
      </c>
      <c r="B207" s="2"/>
      <c r="C207" s="2"/>
      <c r="D207" s="2"/>
      <c r="E207" s="2"/>
      <c r="F207" s="2"/>
      <c r="G207" s="59">
        <v>1</v>
      </c>
    </row>
    <row r="208" spans="1:7" ht="15" hidden="1" customHeight="1" outlineLevel="1" x14ac:dyDescent="0.35">
      <c r="A208" s="60"/>
      <c r="B208" s="61" t="s">
        <v>190</v>
      </c>
      <c r="C208" s="60"/>
      <c r="D208" s="60"/>
      <c r="E208" s="60"/>
      <c r="F208" s="60"/>
    </row>
    <row r="209" spans="1:8" ht="15" hidden="1" customHeight="1" outlineLevel="1" x14ac:dyDescent="0.35">
      <c r="B209" s="7" t="s">
        <v>191</v>
      </c>
      <c r="C209" s="62">
        <f>Выбросы!C8</f>
        <v>135.30000000000001</v>
      </c>
      <c r="E209" s="63" t="s">
        <v>192</v>
      </c>
      <c r="F209" s="9" t="s">
        <v>193</v>
      </c>
    </row>
    <row r="210" spans="1:8" ht="15" hidden="1" customHeight="1" outlineLevel="1" x14ac:dyDescent="0.35">
      <c r="B210" s="7" t="s">
        <v>194</v>
      </c>
      <c r="C210" s="81">
        <f>C225/C209/1000</f>
        <v>3.8617886178861791E-2</v>
      </c>
      <c r="F210" s="9"/>
    </row>
    <row r="211" spans="1:8" ht="15" hidden="1" customHeight="1" outlineLevel="1" x14ac:dyDescent="0.35">
      <c r="B211" s="7" t="s">
        <v>327</v>
      </c>
      <c r="C211" s="70">
        <v>95000</v>
      </c>
      <c r="E211" s="5" t="s">
        <v>328</v>
      </c>
      <c r="F211" s="9"/>
      <c r="H211" s="15"/>
    </row>
    <row r="212" spans="1:8" ht="15" hidden="1" customHeight="1" outlineLevel="1" x14ac:dyDescent="0.35">
      <c r="B212" s="7" t="s">
        <v>329</v>
      </c>
      <c r="C212" s="89">
        <f>G212*C211</f>
        <v>9500</v>
      </c>
      <c r="E212" s="5" t="s">
        <v>328</v>
      </c>
      <c r="F212" s="9" t="s">
        <v>330</v>
      </c>
      <c r="G212" s="90">
        <v>0.1</v>
      </c>
    </row>
    <row r="213" spans="1:8" ht="15" hidden="1" customHeight="1" outlineLevel="1" x14ac:dyDescent="0.35">
      <c r="B213" s="7" t="s">
        <v>331</v>
      </c>
      <c r="C213" s="91">
        <v>3.5</v>
      </c>
      <c r="F213" s="9" t="s">
        <v>332</v>
      </c>
    </row>
    <row r="214" spans="1:8" ht="15" hidden="1" customHeight="1" outlineLevel="1" x14ac:dyDescent="0.35">
      <c r="B214" s="7" t="s">
        <v>333</v>
      </c>
      <c r="C214" s="65">
        <f>MACC!$E$51</f>
        <v>1750</v>
      </c>
      <c r="E214" s="63" t="s">
        <v>83</v>
      </c>
      <c r="F214" s="9" t="s">
        <v>334</v>
      </c>
    </row>
    <row r="215" spans="1:8" ht="15" hidden="1" customHeight="1" outlineLevel="1" x14ac:dyDescent="0.35">
      <c r="B215" s="7" t="s">
        <v>335</v>
      </c>
      <c r="C215" s="8">
        <v>0.3</v>
      </c>
      <c r="E215" s="63" t="s">
        <v>336</v>
      </c>
      <c r="F215" s="9"/>
    </row>
    <row r="216" spans="1:8" ht="15" hidden="1" customHeight="1" outlineLevel="1" x14ac:dyDescent="0.35">
      <c r="B216" s="7" t="s">
        <v>337</v>
      </c>
      <c r="C216" s="65">
        <f>MACC!$E$38</f>
        <v>50</v>
      </c>
      <c r="E216" s="63" t="s">
        <v>59</v>
      </c>
      <c r="F216" s="9" t="s">
        <v>338</v>
      </c>
    </row>
    <row r="217" spans="1:8" ht="15" hidden="1" customHeight="1" outlineLevel="1" x14ac:dyDescent="0.35">
      <c r="B217" s="7" t="s">
        <v>339</v>
      </c>
      <c r="C217" s="70">
        <v>180</v>
      </c>
      <c r="E217" s="63" t="s">
        <v>340</v>
      </c>
    </row>
    <row r="218" spans="1:8" ht="15" hidden="1" customHeight="1" outlineLevel="1" x14ac:dyDescent="0.35">
      <c r="B218" s="7" t="s">
        <v>64</v>
      </c>
      <c r="C218" s="67">
        <f>MACC!$E$41</f>
        <v>0.55000000000000004</v>
      </c>
      <c r="E218" s="63" t="s">
        <v>341</v>
      </c>
      <c r="F218" s="9"/>
    </row>
    <row r="219" spans="1:8" ht="15" hidden="1" customHeight="1" outlineLevel="1" x14ac:dyDescent="0.35">
      <c r="B219" s="7" t="s">
        <v>342</v>
      </c>
      <c r="C219" s="67">
        <f>MACC!$E$42</f>
        <v>0.4</v>
      </c>
      <c r="E219" s="63"/>
      <c r="F219" s="9"/>
    </row>
    <row r="220" spans="1:8" ht="15" hidden="1" customHeight="1" outlineLevel="1" x14ac:dyDescent="0.35">
      <c r="B220" s="7" t="s">
        <v>278</v>
      </c>
      <c r="C220" s="66">
        <v>0.3</v>
      </c>
      <c r="F220" s="9" t="s">
        <v>343</v>
      </c>
    </row>
    <row r="221" spans="1:8" ht="15" hidden="1" customHeight="1" outlineLevel="1" x14ac:dyDescent="0.35">
      <c r="B221" s="7" t="s">
        <v>344</v>
      </c>
      <c r="C221" s="66">
        <v>0.1</v>
      </c>
      <c r="F221" s="9"/>
    </row>
    <row r="222" spans="1:8" ht="15" hidden="1" customHeight="1" outlineLevel="1" x14ac:dyDescent="0.35">
      <c r="B222" s="7" t="s">
        <v>52</v>
      </c>
      <c r="C222" s="65">
        <f>MACC!$E$36</f>
        <v>15</v>
      </c>
      <c r="E222" s="63" t="s">
        <v>53</v>
      </c>
      <c r="F222" s="9" t="s">
        <v>234</v>
      </c>
    </row>
    <row r="223" spans="1:8" ht="15" hidden="1" customHeight="1" outlineLevel="1" x14ac:dyDescent="0.35">
      <c r="B223" s="7" t="s">
        <v>203</v>
      </c>
      <c r="C223" s="68">
        <v>20</v>
      </c>
      <c r="E223" s="63" t="s">
        <v>204</v>
      </c>
    </row>
    <row r="224" spans="1:8" ht="15" hidden="1" customHeight="1" outlineLevel="1" x14ac:dyDescent="0.35">
      <c r="A224" s="60"/>
      <c r="B224" s="61" t="s">
        <v>205</v>
      </c>
      <c r="C224" s="60"/>
      <c r="D224" s="60"/>
      <c r="E224" s="60"/>
      <c r="F224" s="60"/>
    </row>
    <row r="225" spans="1:6" ht="15" hidden="1" customHeight="1" outlineLevel="1" x14ac:dyDescent="0.35">
      <c r="B225" s="7" t="s">
        <v>206</v>
      </c>
      <c r="C225" s="69">
        <f>C212*C218</f>
        <v>5225</v>
      </c>
      <c r="E225" s="63" t="s">
        <v>207</v>
      </c>
    </row>
    <row r="226" spans="1:6" ht="15" hidden="1" customHeight="1" outlineLevel="1" x14ac:dyDescent="0.35">
      <c r="B226" s="7" t="s">
        <v>345</v>
      </c>
      <c r="C226" s="69">
        <f>C225*1000*1.163/(8760*C220)*(1-C221)</f>
        <v>2081.053082191781</v>
      </c>
      <c r="E226" s="63" t="s">
        <v>346</v>
      </c>
    </row>
    <row r="227" spans="1:6" ht="15" hidden="1" customHeight="1" outlineLevel="1" x14ac:dyDescent="0.35">
      <c r="B227" s="7" t="s">
        <v>347</v>
      </c>
      <c r="C227" s="69">
        <f>C226/C213</f>
        <v>594.58659491193737</v>
      </c>
      <c r="E227" s="63" t="s">
        <v>348</v>
      </c>
    </row>
    <row r="228" spans="1:6" ht="15" hidden="1" customHeight="1" outlineLevel="1" x14ac:dyDescent="0.35">
      <c r="B228" s="7" t="s">
        <v>349</v>
      </c>
      <c r="C228" s="69">
        <f>C227*8760*C220/1000</f>
        <v>1562.5735714285711</v>
      </c>
      <c r="E228" s="63" t="s">
        <v>350</v>
      </c>
    </row>
    <row r="229" spans="1:6" ht="15" hidden="1" customHeight="1" outlineLevel="1" x14ac:dyDescent="0.35">
      <c r="A229" s="60"/>
      <c r="B229" s="61" t="s">
        <v>211</v>
      </c>
      <c r="C229" s="60"/>
      <c r="D229" s="60"/>
      <c r="E229" s="60"/>
      <c r="F229" s="60"/>
    </row>
    <row r="230" spans="1:6" ht="15" hidden="1" customHeight="1" outlineLevel="1" x14ac:dyDescent="0.35">
      <c r="B230" s="7" t="s">
        <v>351</v>
      </c>
      <c r="C230" s="71">
        <f>C227*C214/1000</f>
        <v>1040.5265410958903</v>
      </c>
    </row>
    <row r="231" spans="1:6" ht="15" hidden="1" customHeight="1" outlineLevel="1" x14ac:dyDescent="0.35">
      <c r="B231" s="7" t="s">
        <v>335</v>
      </c>
      <c r="C231" s="71">
        <f>C230*C215</f>
        <v>312.15796232876704</v>
      </c>
    </row>
    <row r="232" spans="1:6" ht="15" hidden="1" customHeight="1" outlineLevel="1" x14ac:dyDescent="0.35">
      <c r="A232" s="72"/>
      <c r="B232" s="73" t="s">
        <v>215</v>
      </c>
      <c r="C232" s="74">
        <f>SUM(C230:C231)</f>
        <v>1352.6845034246574</v>
      </c>
      <c r="D232" s="72"/>
      <c r="E232" s="72"/>
      <c r="F232" s="72"/>
    </row>
    <row r="233" spans="1:6" ht="15" hidden="1" customHeight="1" outlineLevel="1" x14ac:dyDescent="0.35">
      <c r="A233" s="60"/>
      <c r="B233" s="61" t="s">
        <v>216</v>
      </c>
      <c r="C233" s="60"/>
      <c r="D233" s="60"/>
      <c r="E233" s="60"/>
      <c r="F233" s="60"/>
    </row>
    <row r="234" spans="1:6" ht="15" hidden="1" customHeight="1" outlineLevel="1" x14ac:dyDescent="0.35">
      <c r="B234" s="7" t="s">
        <v>217</v>
      </c>
      <c r="C234" s="71">
        <f>C232*E234</f>
        <v>27.053690068493147</v>
      </c>
      <c r="E234" s="92">
        <v>0.02</v>
      </c>
    </row>
    <row r="235" spans="1:6" ht="15" hidden="1" customHeight="1" outlineLevel="1" x14ac:dyDescent="0.35">
      <c r="B235" s="7" t="s">
        <v>352</v>
      </c>
      <c r="C235" s="71">
        <f>-C234</f>
        <v>-27.053690068493147</v>
      </c>
      <c r="E235" s="92"/>
      <c r="F235" s="9" t="s">
        <v>353</v>
      </c>
    </row>
    <row r="236" spans="1:6" ht="15" hidden="1" customHeight="1" outlineLevel="1" x14ac:dyDescent="0.35">
      <c r="B236" s="7" t="s">
        <v>354</v>
      </c>
      <c r="C236" s="71">
        <f>C228*C216/1000</f>
        <v>78.128678571428551</v>
      </c>
    </row>
    <row r="237" spans="1:6" ht="15" hidden="1" customHeight="1" outlineLevel="1" x14ac:dyDescent="0.35">
      <c r="B237" s="7" t="s">
        <v>244</v>
      </c>
      <c r="C237" s="71">
        <f>E237*C222</f>
        <v>-53.437499999999993</v>
      </c>
      <c r="E237" s="76">
        <f>-C225*1000/(C219*44/12)/10^6</f>
        <v>-3.5624999999999996</v>
      </c>
      <c r="F237" s="9" t="s">
        <v>220</v>
      </c>
    </row>
    <row r="238" spans="1:6" ht="15" hidden="1" customHeight="1" outlineLevel="1" x14ac:dyDescent="0.35">
      <c r="A238" s="72"/>
      <c r="B238" s="73" t="s">
        <v>221</v>
      </c>
      <c r="C238" s="74">
        <f>SUM(C234:C237)</f>
        <v>24.691178571428559</v>
      </c>
      <c r="D238" s="72"/>
      <c r="E238" s="72"/>
      <c r="F238" s="72"/>
    </row>
    <row r="239" spans="1:6" ht="15" hidden="1" customHeight="1" outlineLevel="1" x14ac:dyDescent="0.35">
      <c r="A239" s="60"/>
      <c r="B239" s="61" t="s">
        <v>222</v>
      </c>
      <c r="C239" s="60"/>
      <c r="D239" s="60"/>
      <c r="E239" s="60"/>
      <c r="F239" s="60"/>
    </row>
    <row r="240" spans="1:6" ht="15" hidden="1" customHeight="1" outlineLevel="1" x14ac:dyDescent="0.35">
      <c r="B240" s="77" t="s">
        <v>223</v>
      </c>
      <c r="C240" s="78">
        <f>C232</f>
        <v>1352.6845034246574</v>
      </c>
      <c r="E240" s="63" t="s">
        <v>224</v>
      </c>
    </row>
    <row r="241" spans="1:7" ht="15" hidden="1" customHeight="1" outlineLevel="1" x14ac:dyDescent="0.35">
      <c r="B241" s="77" t="s">
        <v>225</v>
      </c>
      <c r="C241" s="78">
        <f>C238</f>
        <v>24.691178571428559</v>
      </c>
      <c r="E241" s="63" t="s">
        <v>226</v>
      </c>
    </row>
    <row r="242" spans="1:7" ht="15" hidden="1" customHeight="1" outlineLevel="1" x14ac:dyDescent="0.35">
      <c r="B242" s="77" t="s">
        <v>203</v>
      </c>
      <c r="C242" s="79">
        <f>C223</f>
        <v>20</v>
      </c>
      <c r="E242" s="63" t="s">
        <v>204</v>
      </c>
    </row>
    <row r="243" spans="1:7" ht="15" hidden="1" customHeight="1" outlineLevel="1" x14ac:dyDescent="0.35">
      <c r="B243" s="77" t="s">
        <v>206</v>
      </c>
      <c r="C243" s="80">
        <f>C225</f>
        <v>5225</v>
      </c>
      <c r="E243" s="63" t="s">
        <v>207</v>
      </c>
    </row>
    <row r="244" spans="1:7" collapsed="1" x14ac:dyDescent="0.35"/>
    <row r="245" spans="1:7" ht="15" customHeight="1" x14ac:dyDescent="0.35">
      <c r="A245" s="2" t="s">
        <v>355</v>
      </c>
      <c r="B245" s="2"/>
      <c r="C245" s="2"/>
      <c r="D245" s="2"/>
      <c r="E245" s="2"/>
      <c r="F245" s="2"/>
      <c r="G245" s="59">
        <v>1</v>
      </c>
    </row>
    <row r="246" spans="1:7" ht="15" hidden="1" customHeight="1" outlineLevel="1" x14ac:dyDescent="0.35">
      <c r="A246" s="60"/>
      <c r="B246" s="61" t="s">
        <v>190</v>
      </c>
      <c r="C246" s="60"/>
      <c r="D246" s="60"/>
      <c r="E246" s="60"/>
      <c r="F246" s="60"/>
    </row>
    <row r="247" spans="1:7" ht="15" hidden="1" customHeight="1" outlineLevel="1" x14ac:dyDescent="0.35">
      <c r="B247" s="7" t="s">
        <v>191</v>
      </c>
      <c r="C247" s="62">
        <f>Выбросы!C8</f>
        <v>135.30000000000001</v>
      </c>
      <c r="E247" s="63" t="s">
        <v>192</v>
      </c>
      <c r="F247" s="9" t="s">
        <v>193</v>
      </c>
    </row>
    <row r="248" spans="1:7" ht="15" hidden="1" customHeight="1" outlineLevel="1" x14ac:dyDescent="0.35">
      <c r="B248" s="7" t="s">
        <v>327</v>
      </c>
      <c r="C248" s="70">
        <v>95000</v>
      </c>
      <c r="E248" s="5" t="s">
        <v>328</v>
      </c>
      <c r="F248" s="9"/>
    </row>
    <row r="249" spans="1:7" ht="15" hidden="1" customHeight="1" outlineLevel="1" x14ac:dyDescent="0.35">
      <c r="B249" s="7" t="s">
        <v>356</v>
      </c>
      <c r="C249" s="70">
        <f>C248*1.163/8760/C255*10^3</f>
        <v>42041.476407914764</v>
      </c>
      <c r="E249" s="5" t="s">
        <v>209</v>
      </c>
      <c r="F249" s="9"/>
    </row>
    <row r="250" spans="1:7" ht="15" hidden="1" customHeight="1" outlineLevel="1" x14ac:dyDescent="0.35">
      <c r="B250" s="7" t="s">
        <v>357</v>
      </c>
      <c r="C250" s="81">
        <f>C263/C247/1000</f>
        <v>0.20853658536585368</v>
      </c>
      <c r="F250" s="9"/>
    </row>
    <row r="251" spans="1:7" ht="15" hidden="1" customHeight="1" outlineLevel="1" x14ac:dyDescent="0.35">
      <c r="B251" s="7" t="s">
        <v>358</v>
      </c>
      <c r="C251" s="65">
        <f>MACC!$E$52</f>
        <v>150</v>
      </c>
      <c r="E251" s="63" t="s">
        <v>72</v>
      </c>
      <c r="F251" s="9" t="s">
        <v>86</v>
      </c>
    </row>
    <row r="252" spans="1:7" ht="15" hidden="1" customHeight="1" outlineLevel="1" x14ac:dyDescent="0.35">
      <c r="B252" s="7" t="s">
        <v>254</v>
      </c>
      <c r="C252" s="8">
        <v>0.4</v>
      </c>
      <c r="E252" s="63" t="s">
        <v>359</v>
      </c>
    </row>
    <row r="253" spans="1:7" ht="15" hidden="1" customHeight="1" outlineLevel="1" x14ac:dyDescent="0.35">
      <c r="B253" s="7" t="s">
        <v>360</v>
      </c>
      <c r="C253" s="70">
        <v>180</v>
      </c>
      <c r="E253" s="63" t="s">
        <v>340</v>
      </c>
    </row>
    <row r="254" spans="1:7" ht="15" hidden="1" customHeight="1" outlineLevel="1" x14ac:dyDescent="0.35">
      <c r="B254" s="7" t="s">
        <v>64</v>
      </c>
      <c r="C254" s="67">
        <f>MACC!$E$41</f>
        <v>0.55000000000000004</v>
      </c>
      <c r="E254" s="63" t="s">
        <v>341</v>
      </c>
    </row>
    <row r="255" spans="1:7" ht="15" hidden="1" customHeight="1" outlineLevel="1" x14ac:dyDescent="0.35">
      <c r="B255" s="7" t="s">
        <v>278</v>
      </c>
      <c r="C255" s="66">
        <v>0.3</v>
      </c>
    </row>
    <row r="256" spans="1:7" ht="15" hidden="1" customHeight="1" outlineLevel="1" x14ac:dyDescent="0.35">
      <c r="B256" s="7" t="s">
        <v>361</v>
      </c>
      <c r="C256" s="65">
        <f>MACC!$E$38</f>
        <v>50</v>
      </c>
      <c r="E256" s="63" t="s">
        <v>59</v>
      </c>
      <c r="F256" s="9" t="s">
        <v>362</v>
      </c>
    </row>
    <row r="257" spans="1:6" ht="15" hidden="1" customHeight="1" outlineLevel="1" x14ac:dyDescent="0.35">
      <c r="B257" s="7" t="s">
        <v>52</v>
      </c>
      <c r="C257" s="65">
        <f>MACC!$E$36</f>
        <v>15</v>
      </c>
      <c r="E257" s="63" t="s">
        <v>53</v>
      </c>
      <c r="F257" s="9" t="s">
        <v>234</v>
      </c>
    </row>
    <row r="258" spans="1:6" ht="15" hidden="1" customHeight="1" outlineLevel="1" x14ac:dyDescent="0.35">
      <c r="B258" s="7" t="s">
        <v>342</v>
      </c>
      <c r="C258" s="67">
        <f>MACC!$E$42</f>
        <v>0.4</v>
      </c>
      <c r="E258" s="63"/>
    </row>
    <row r="259" spans="1:6" ht="15" hidden="1" customHeight="1" outlineLevel="1" x14ac:dyDescent="0.35">
      <c r="B259" s="7" t="s">
        <v>203</v>
      </c>
      <c r="C259" s="68">
        <v>25</v>
      </c>
      <c r="E259" s="63" t="s">
        <v>204</v>
      </c>
    </row>
    <row r="260" spans="1:6" ht="15" hidden="1" customHeight="1" outlineLevel="1" x14ac:dyDescent="0.35">
      <c r="B260" s="7" t="s">
        <v>363</v>
      </c>
      <c r="C260" s="93">
        <v>0.1</v>
      </c>
      <c r="E260" s="63"/>
      <c r="F260" s="9" t="s">
        <v>364</v>
      </c>
    </row>
    <row r="261" spans="1:6" ht="15" hidden="1" customHeight="1" outlineLevel="1" x14ac:dyDescent="0.35">
      <c r="B261" s="7" t="s">
        <v>365</v>
      </c>
      <c r="C261" s="93">
        <v>0.6</v>
      </c>
      <c r="E261" s="63"/>
    </row>
    <row r="262" spans="1:6" ht="15" hidden="1" customHeight="1" outlineLevel="1" x14ac:dyDescent="0.35">
      <c r="A262" s="60"/>
      <c r="B262" s="61" t="s">
        <v>205</v>
      </c>
      <c r="C262" s="60"/>
      <c r="D262" s="60"/>
      <c r="E262" s="60"/>
      <c r="F262" s="60"/>
    </row>
    <row r="263" spans="1:6" ht="15" hidden="1" customHeight="1" outlineLevel="1" x14ac:dyDescent="0.35">
      <c r="B263" s="7" t="s">
        <v>206</v>
      </c>
      <c r="C263" s="69">
        <f>C264*C254</f>
        <v>28215.000000000004</v>
      </c>
      <c r="E263" s="63" t="s">
        <v>207</v>
      </c>
    </row>
    <row r="264" spans="1:6" ht="15" hidden="1" customHeight="1" outlineLevel="1" x14ac:dyDescent="0.35">
      <c r="B264" s="7" t="s">
        <v>366</v>
      </c>
      <c r="C264" s="69">
        <f>C265*8760*C255/1.163*10^-3</f>
        <v>51300</v>
      </c>
      <c r="E264" s="63" t="s">
        <v>367</v>
      </c>
    </row>
    <row r="265" spans="1:6" ht="15" hidden="1" customHeight="1" outlineLevel="1" x14ac:dyDescent="0.35">
      <c r="B265" s="7" t="s">
        <v>368</v>
      </c>
      <c r="C265" s="69">
        <f>C249*(1-C260)*C261</f>
        <v>22702.397260273974</v>
      </c>
      <c r="E265" s="63" t="s">
        <v>209</v>
      </c>
    </row>
    <row r="266" spans="1:6" ht="15" hidden="1" customHeight="1" outlineLevel="1" x14ac:dyDescent="0.35">
      <c r="B266" s="7" t="s">
        <v>349</v>
      </c>
      <c r="C266" s="69">
        <f>C264*1.163</f>
        <v>59661.9</v>
      </c>
      <c r="E266" s="63" t="s">
        <v>350</v>
      </c>
    </row>
    <row r="267" spans="1:6" ht="15" hidden="1" customHeight="1" outlineLevel="1" x14ac:dyDescent="0.35">
      <c r="A267" s="60"/>
      <c r="B267" s="61" t="s">
        <v>211</v>
      </c>
      <c r="C267" s="60"/>
      <c r="D267" s="60"/>
      <c r="E267" s="60"/>
      <c r="F267" s="60"/>
    </row>
    <row r="268" spans="1:6" ht="15" hidden="1" customHeight="1" outlineLevel="1" x14ac:dyDescent="0.35">
      <c r="B268" s="7" t="s">
        <v>369</v>
      </c>
      <c r="C268" s="71">
        <f>C265*C251/1000</f>
        <v>3405.3595890410961</v>
      </c>
    </row>
    <row r="269" spans="1:6" ht="15" hidden="1" customHeight="1" outlineLevel="1" x14ac:dyDescent="0.35">
      <c r="B269" s="7" t="s">
        <v>370</v>
      </c>
      <c r="C269" s="71">
        <f>C268*C252</f>
        <v>1362.1438356164385</v>
      </c>
    </row>
    <row r="270" spans="1:6" ht="15" hidden="1" customHeight="1" outlineLevel="1" x14ac:dyDescent="0.35">
      <c r="A270" s="72"/>
      <c r="B270" s="73" t="s">
        <v>215</v>
      </c>
      <c r="C270" s="74">
        <f>SUM(C268:C269)</f>
        <v>4767.5034246575342</v>
      </c>
      <c r="D270" s="72"/>
      <c r="E270" s="72"/>
      <c r="F270" s="72"/>
    </row>
    <row r="271" spans="1:6" ht="15" hidden="1" customHeight="1" outlineLevel="1" x14ac:dyDescent="0.35">
      <c r="A271" s="60"/>
      <c r="B271" s="61" t="s">
        <v>216</v>
      </c>
      <c r="C271" s="60"/>
      <c r="D271" s="60"/>
      <c r="E271" s="60"/>
      <c r="F271" s="60"/>
    </row>
    <row r="272" spans="1:6" ht="15" hidden="1" customHeight="1" outlineLevel="1" x14ac:dyDescent="0.35">
      <c r="B272" s="7" t="s">
        <v>217</v>
      </c>
      <c r="C272" s="71">
        <f>C265/(1-C260)*E272*10^-3</f>
        <v>-25.224885844748862</v>
      </c>
      <c r="E272" s="76">
        <v>-1</v>
      </c>
      <c r="F272" s="9" t="s">
        <v>241</v>
      </c>
    </row>
    <row r="273" spans="1:7" ht="15" hidden="1" customHeight="1" outlineLevel="1" x14ac:dyDescent="0.35">
      <c r="B273" s="7" t="s">
        <v>354</v>
      </c>
      <c r="C273" s="71">
        <f>C266*C256/1000</f>
        <v>2983.0949999999998</v>
      </c>
    </row>
    <row r="274" spans="1:7" ht="15" hidden="1" customHeight="1" outlineLevel="1" x14ac:dyDescent="0.35">
      <c r="B274" s="7" t="s">
        <v>244</v>
      </c>
      <c r="C274" s="71">
        <f>E274*C257</f>
        <v>-288.5625</v>
      </c>
      <c r="E274" s="76">
        <f>-C263*1000/(C258*44/12)/10^6</f>
        <v>-19.237500000000001</v>
      </c>
      <c r="F274" s="9" t="s">
        <v>220</v>
      </c>
    </row>
    <row r="275" spans="1:7" ht="15" hidden="1" customHeight="1" outlineLevel="1" x14ac:dyDescent="0.35">
      <c r="A275" s="72"/>
      <c r="B275" s="73" t="s">
        <v>221</v>
      </c>
      <c r="C275" s="74">
        <f>SUM(C272:C274)</f>
        <v>2669.307614155251</v>
      </c>
      <c r="D275" s="72"/>
      <c r="E275" s="72"/>
      <c r="F275" s="72"/>
    </row>
    <row r="276" spans="1:7" ht="15" hidden="1" customHeight="1" outlineLevel="1" x14ac:dyDescent="0.35">
      <c r="A276" s="60"/>
      <c r="B276" s="61" t="s">
        <v>222</v>
      </c>
      <c r="C276" s="60"/>
      <c r="D276" s="60"/>
      <c r="E276" s="60"/>
      <c r="F276" s="60"/>
    </row>
    <row r="277" spans="1:7" ht="15" hidden="1" customHeight="1" outlineLevel="1" x14ac:dyDescent="0.35">
      <c r="B277" s="77" t="s">
        <v>223</v>
      </c>
      <c r="C277" s="78">
        <f>C270</f>
        <v>4767.5034246575342</v>
      </c>
      <c r="E277" s="63" t="s">
        <v>224</v>
      </c>
    </row>
    <row r="278" spans="1:7" ht="15" hidden="1" customHeight="1" outlineLevel="1" x14ac:dyDescent="0.35">
      <c r="B278" s="77" t="s">
        <v>225</v>
      </c>
      <c r="C278" s="78">
        <f>C275</f>
        <v>2669.307614155251</v>
      </c>
      <c r="E278" s="63" t="s">
        <v>226</v>
      </c>
    </row>
    <row r="279" spans="1:7" ht="15" hidden="1" customHeight="1" outlineLevel="1" x14ac:dyDescent="0.35">
      <c r="B279" s="77" t="s">
        <v>203</v>
      </c>
      <c r="C279" s="79">
        <f>C259</f>
        <v>25</v>
      </c>
      <c r="E279" s="63" t="s">
        <v>204</v>
      </c>
    </row>
    <row r="280" spans="1:7" ht="15" hidden="1" customHeight="1" outlineLevel="1" x14ac:dyDescent="0.35">
      <c r="B280" s="77" t="s">
        <v>206</v>
      </c>
      <c r="C280" s="80">
        <f>C263</f>
        <v>28215.000000000004</v>
      </c>
      <c r="E280" s="63" t="s">
        <v>207</v>
      </c>
    </row>
    <row r="281" spans="1:7" collapsed="1" x14ac:dyDescent="0.35"/>
    <row r="282" spans="1:7" ht="15" customHeight="1" x14ac:dyDescent="0.35">
      <c r="A282" s="2" t="s">
        <v>371</v>
      </c>
      <c r="B282" s="2"/>
      <c r="C282" s="2"/>
      <c r="D282" s="2"/>
      <c r="E282" s="2"/>
      <c r="F282" s="2"/>
      <c r="G282" s="59">
        <v>1</v>
      </c>
    </row>
    <row r="283" spans="1:7" ht="15" hidden="1" customHeight="1" outlineLevel="1" x14ac:dyDescent="0.35">
      <c r="A283" s="60"/>
      <c r="B283" s="61" t="s">
        <v>190</v>
      </c>
      <c r="C283" s="60"/>
      <c r="D283" s="60"/>
      <c r="E283" s="60"/>
      <c r="F283" s="60"/>
    </row>
    <row r="284" spans="1:7" ht="15" hidden="1" customHeight="1" outlineLevel="1" x14ac:dyDescent="0.35">
      <c r="B284" s="7" t="s">
        <v>372</v>
      </c>
      <c r="C284" s="62">
        <f>Выбросы!C8</f>
        <v>135.30000000000001</v>
      </c>
      <c r="E284" s="63" t="s">
        <v>192</v>
      </c>
      <c r="F284" s="9" t="s">
        <v>193</v>
      </c>
    </row>
    <row r="285" spans="1:7" ht="15" hidden="1" customHeight="1" outlineLevel="1" x14ac:dyDescent="0.35">
      <c r="B285" s="7" t="s">
        <v>373</v>
      </c>
      <c r="C285" s="65">
        <f>MACC!$E$53</f>
        <v>2500</v>
      </c>
      <c r="E285" s="63" t="s">
        <v>88</v>
      </c>
      <c r="F285" s="9" t="s">
        <v>374</v>
      </c>
    </row>
    <row r="286" spans="1:7" ht="15" hidden="1" customHeight="1" outlineLevel="1" x14ac:dyDescent="0.35">
      <c r="B286" s="7" t="s">
        <v>375</v>
      </c>
      <c r="C286" s="93">
        <v>0.8</v>
      </c>
      <c r="E286" s="63"/>
      <c r="F286" s="9"/>
    </row>
    <row r="287" spans="1:7" ht="15" hidden="1" customHeight="1" outlineLevel="1" x14ac:dyDescent="0.35">
      <c r="B287" s="7" t="s">
        <v>376</v>
      </c>
      <c r="C287" s="70">
        <v>2500</v>
      </c>
      <c r="E287" s="63" t="s">
        <v>209</v>
      </c>
      <c r="F287" s="9" t="s">
        <v>377</v>
      </c>
    </row>
    <row r="288" spans="1:7" ht="15" hidden="1" customHeight="1" outlineLevel="1" x14ac:dyDescent="0.35">
      <c r="B288" s="7" t="s">
        <v>52</v>
      </c>
      <c r="C288" s="65">
        <f>MACC!$E$36</f>
        <v>15</v>
      </c>
      <c r="E288" s="63" t="s">
        <v>53</v>
      </c>
      <c r="F288" s="9" t="s">
        <v>234</v>
      </c>
    </row>
    <row r="289" spans="1:6" ht="15" hidden="1" customHeight="1" outlineLevel="1" x14ac:dyDescent="0.35">
      <c r="B289" s="7" t="s">
        <v>256</v>
      </c>
      <c r="C289" s="67">
        <f>MACC!$E$42</f>
        <v>0.4</v>
      </c>
      <c r="E289" s="63"/>
    </row>
    <row r="290" spans="1:6" ht="15" hidden="1" customHeight="1" outlineLevel="1" x14ac:dyDescent="0.35">
      <c r="B290" s="7" t="s">
        <v>203</v>
      </c>
      <c r="C290" s="68">
        <v>20</v>
      </c>
      <c r="E290" s="63" t="s">
        <v>204</v>
      </c>
    </row>
    <row r="291" spans="1:6" ht="15" hidden="1" customHeight="1" outlineLevel="1" x14ac:dyDescent="0.35">
      <c r="A291" s="60"/>
      <c r="B291" s="61" t="s">
        <v>205</v>
      </c>
      <c r="C291" s="60"/>
      <c r="D291" s="60"/>
      <c r="E291" s="60"/>
      <c r="F291" s="60"/>
    </row>
    <row r="292" spans="1:6" ht="15" hidden="1" customHeight="1" outlineLevel="1" x14ac:dyDescent="0.35">
      <c r="B292" s="7" t="s">
        <v>206</v>
      </c>
      <c r="C292" s="69">
        <f>C287*8760*C286*C37*10^-3</f>
        <v>17520</v>
      </c>
      <c r="E292" s="63" t="s">
        <v>207</v>
      </c>
    </row>
    <row r="293" spans="1:6" ht="15" hidden="1" customHeight="1" outlineLevel="1" x14ac:dyDescent="0.35">
      <c r="A293" s="60"/>
      <c r="B293" s="61" t="s">
        <v>211</v>
      </c>
      <c r="C293" s="60"/>
      <c r="D293" s="60"/>
      <c r="E293" s="60"/>
      <c r="F293" s="60"/>
    </row>
    <row r="294" spans="1:6" ht="15" hidden="1" customHeight="1" outlineLevel="1" x14ac:dyDescent="0.35">
      <c r="B294" s="7" t="s">
        <v>378</v>
      </c>
      <c r="C294" s="71">
        <f>C285*C287*10^-3</f>
        <v>6250</v>
      </c>
      <c r="E294" s="63" t="s">
        <v>224</v>
      </c>
    </row>
    <row r="295" spans="1:6" ht="15" hidden="1" customHeight="1" outlineLevel="1" x14ac:dyDescent="0.35">
      <c r="B295" s="7"/>
      <c r="C295" s="71"/>
      <c r="F295" s="9"/>
    </row>
    <row r="296" spans="1:6" ht="15" hidden="1" customHeight="1" outlineLevel="1" x14ac:dyDescent="0.35">
      <c r="A296" s="72"/>
      <c r="B296" s="73" t="s">
        <v>215</v>
      </c>
      <c r="C296" s="74">
        <f>SUM(C294:C295)</f>
        <v>6250</v>
      </c>
      <c r="D296" s="72"/>
      <c r="E296" s="72"/>
      <c r="F296" s="72"/>
    </row>
    <row r="297" spans="1:6" ht="15" hidden="1" customHeight="1" outlineLevel="1" x14ac:dyDescent="0.35">
      <c r="A297" s="60"/>
      <c r="B297" s="61" t="s">
        <v>216</v>
      </c>
      <c r="C297" s="60"/>
      <c r="D297" s="60"/>
      <c r="E297" s="60"/>
      <c r="F297" s="60"/>
    </row>
    <row r="298" spans="1:6" ht="15" hidden="1" customHeight="1" outlineLevel="1" x14ac:dyDescent="0.35">
      <c r="B298" s="7" t="s">
        <v>217</v>
      </c>
      <c r="C298" s="71">
        <f>C296*0.03</f>
        <v>187.5</v>
      </c>
      <c r="F298" s="9" t="s">
        <v>379</v>
      </c>
    </row>
    <row r="299" spans="1:6" ht="15" hidden="1" customHeight="1" outlineLevel="1" x14ac:dyDescent="0.35">
      <c r="B299" s="7" t="s">
        <v>244</v>
      </c>
      <c r="C299" s="71">
        <f>-C292*1000/(C289*44/12)*C288/10^6</f>
        <v>-179.18181818181819</v>
      </c>
      <c r="F299" s="9" t="s">
        <v>264</v>
      </c>
    </row>
    <row r="300" spans="1:6" ht="15" hidden="1" customHeight="1" outlineLevel="1" x14ac:dyDescent="0.35">
      <c r="A300" s="72"/>
      <c r="B300" s="73" t="s">
        <v>221</v>
      </c>
      <c r="C300" s="74">
        <f>SUM(C298:C299)</f>
        <v>8.318181818181813</v>
      </c>
      <c r="D300" s="72"/>
      <c r="E300" s="72"/>
      <c r="F300" s="72"/>
    </row>
    <row r="301" spans="1:6" ht="15" hidden="1" customHeight="1" outlineLevel="1" x14ac:dyDescent="0.35">
      <c r="A301" s="60"/>
      <c r="B301" s="61" t="s">
        <v>222</v>
      </c>
      <c r="C301" s="60"/>
      <c r="D301" s="60"/>
      <c r="E301" s="60"/>
      <c r="F301" s="60"/>
    </row>
    <row r="302" spans="1:6" ht="15" hidden="1" customHeight="1" outlineLevel="1" x14ac:dyDescent="0.35">
      <c r="B302" s="77" t="s">
        <v>223</v>
      </c>
      <c r="C302" s="78">
        <f>C296</f>
        <v>6250</v>
      </c>
      <c r="E302" s="63" t="s">
        <v>224</v>
      </c>
    </row>
    <row r="303" spans="1:6" ht="15" hidden="1" customHeight="1" outlineLevel="1" x14ac:dyDescent="0.35">
      <c r="B303" s="77" t="s">
        <v>225</v>
      </c>
      <c r="C303" s="78">
        <f>C300</f>
        <v>8.318181818181813</v>
      </c>
      <c r="E303" s="63" t="s">
        <v>226</v>
      </c>
    </row>
    <row r="304" spans="1:6" ht="15" hidden="1" customHeight="1" outlineLevel="1" x14ac:dyDescent="0.35">
      <c r="B304" s="77" t="s">
        <v>203</v>
      </c>
      <c r="C304" s="79">
        <f>C290</f>
        <v>20</v>
      </c>
      <c r="E304" s="63" t="s">
        <v>204</v>
      </c>
    </row>
    <row r="305" spans="1:7" ht="15" hidden="1" customHeight="1" outlineLevel="1" x14ac:dyDescent="0.35">
      <c r="B305" s="77" t="s">
        <v>206</v>
      </c>
      <c r="C305" s="80">
        <f>C292</f>
        <v>17520</v>
      </c>
      <c r="E305" s="63" t="s">
        <v>207</v>
      </c>
    </row>
    <row r="306" spans="1:7" collapsed="1" x14ac:dyDescent="0.35"/>
    <row r="307" spans="1:7" ht="15" customHeight="1" x14ac:dyDescent="0.35">
      <c r="A307" s="2" t="s">
        <v>380</v>
      </c>
      <c r="B307" s="2"/>
      <c r="C307" s="2"/>
      <c r="D307" s="2"/>
      <c r="E307" s="2"/>
      <c r="F307" s="2"/>
      <c r="G307" s="59">
        <v>1</v>
      </c>
    </row>
    <row r="308" spans="1:7" ht="15" hidden="1" customHeight="1" outlineLevel="1" x14ac:dyDescent="0.35">
      <c r="A308" s="60"/>
      <c r="B308" s="61" t="s">
        <v>190</v>
      </c>
      <c r="C308" s="60"/>
      <c r="D308" s="60"/>
      <c r="E308" s="60"/>
      <c r="F308" s="60"/>
    </row>
    <row r="309" spans="1:7" ht="15" hidden="1" customHeight="1" outlineLevel="1" x14ac:dyDescent="0.35">
      <c r="B309" s="7" t="s">
        <v>381</v>
      </c>
      <c r="C309" s="62">
        <f>Выбросы!C10</f>
        <v>27.1</v>
      </c>
      <c r="E309" s="63" t="s">
        <v>192</v>
      </c>
      <c r="F309" s="9" t="s">
        <v>193</v>
      </c>
    </row>
    <row r="310" spans="1:7" ht="15" hidden="1" customHeight="1" outlineLevel="1" x14ac:dyDescent="0.35">
      <c r="B310" s="7" t="s">
        <v>194</v>
      </c>
      <c r="C310" s="8">
        <v>0.15</v>
      </c>
      <c r="F310" s="9" t="s">
        <v>228</v>
      </c>
    </row>
    <row r="311" spans="1:7" ht="15" hidden="1" customHeight="1" outlineLevel="1" x14ac:dyDescent="0.35">
      <c r="B311" s="7" t="s">
        <v>382</v>
      </c>
      <c r="C311" s="65">
        <f>MACC!$E$54</f>
        <v>5000</v>
      </c>
      <c r="E311" s="63" t="s">
        <v>90</v>
      </c>
      <c r="F311" s="9" t="s">
        <v>383</v>
      </c>
    </row>
    <row r="312" spans="1:7" ht="15" hidden="1" customHeight="1" outlineLevel="1" x14ac:dyDescent="0.35">
      <c r="B312" s="7" t="s">
        <v>384</v>
      </c>
      <c r="C312" s="70">
        <v>15000</v>
      </c>
      <c r="E312" s="63" t="s">
        <v>385</v>
      </c>
    </row>
    <row r="313" spans="1:7" ht="15" hidden="1" customHeight="1" outlineLevel="1" x14ac:dyDescent="0.35">
      <c r="B313" s="7" t="s">
        <v>386</v>
      </c>
      <c r="C313" s="91">
        <v>8</v>
      </c>
      <c r="E313" s="63" t="s">
        <v>387</v>
      </c>
    </row>
    <row r="314" spans="1:7" ht="15" hidden="1" customHeight="1" outlineLevel="1" x14ac:dyDescent="0.35">
      <c r="B314" s="7" t="s">
        <v>388</v>
      </c>
      <c r="C314" s="66">
        <v>0.5</v>
      </c>
      <c r="E314" s="63" t="s">
        <v>389</v>
      </c>
      <c r="F314" s="9" t="s">
        <v>54</v>
      </c>
    </row>
    <row r="315" spans="1:7" ht="15" hidden="1" customHeight="1" outlineLevel="1" x14ac:dyDescent="0.35">
      <c r="B315" s="7" t="s">
        <v>390</v>
      </c>
      <c r="C315" s="66">
        <v>60</v>
      </c>
      <c r="E315" s="63" t="s">
        <v>59</v>
      </c>
      <c r="F315" s="9" t="s">
        <v>391</v>
      </c>
    </row>
    <row r="316" spans="1:7" ht="15" hidden="1" customHeight="1" outlineLevel="1" x14ac:dyDescent="0.35">
      <c r="B316" s="7" t="s">
        <v>392</v>
      </c>
      <c r="C316" s="66">
        <v>18</v>
      </c>
      <c r="E316" s="63" t="s">
        <v>393</v>
      </c>
      <c r="F316" s="9"/>
    </row>
    <row r="317" spans="1:7" ht="15" hidden="1" customHeight="1" outlineLevel="1" x14ac:dyDescent="0.35">
      <c r="B317" s="7" t="s">
        <v>394</v>
      </c>
      <c r="C317" s="66">
        <v>2.31</v>
      </c>
      <c r="E317" s="63" t="s">
        <v>395</v>
      </c>
      <c r="F317" s="9" t="s">
        <v>396</v>
      </c>
    </row>
    <row r="318" spans="1:7" ht="15" hidden="1" customHeight="1" outlineLevel="1" x14ac:dyDescent="0.35">
      <c r="B318" s="7" t="s">
        <v>203</v>
      </c>
      <c r="C318" s="68">
        <v>15</v>
      </c>
      <c r="E318" s="63" t="s">
        <v>204</v>
      </c>
    </row>
    <row r="319" spans="1:7" ht="15" hidden="1" customHeight="1" outlineLevel="1" x14ac:dyDescent="0.35">
      <c r="A319" s="60"/>
      <c r="B319" s="61" t="s">
        <v>205</v>
      </c>
      <c r="C319" s="60"/>
      <c r="D319" s="60"/>
      <c r="E319" s="60"/>
      <c r="F319" s="60"/>
    </row>
    <row r="320" spans="1:7" ht="15" hidden="1" customHeight="1" outlineLevel="1" x14ac:dyDescent="0.35">
      <c r="B320" s="7"/>
      <c r="C320" s="15"/>
      <c r="E320" s="63"/>
    </row>
    <row r="321" spans="1:9" ht="15" hidden="1" customHeight="1" outlineLevel="1" x14ac:dyDescent="0.35">
      <c r="B321" s="7" t="s">
        <v>397</v>
      </c>
      <c r="C321" s="69">
        <f>C309*C310*1000</f>
        <v>4065.0000000000005</v>
      </c>
      <c r="E321" s="63" t="s">
        <v>207</v>
      </c>
    </row>
    <row r="322" spans="1:9" ht="15" hidden="1" customHeight="1" outlineLevel="1" x14ac:dyDescent="0.35">
      <c r="B322" s="7" t="s">
        <v>398</v>
      </c>
      <c r="C322" s="69">
        <f>C325*1000*C312*C313/100*10^-6</f>
        <v>1759.7402597402599</v>
      </c>
      <c r="E322" s="63" t="s">
        <v>399</v>
      </c>
    </row>
    <row r="323" spans="1:9" ht="15" hidden="1" customHeight="1" outlineLevel="1" x14ac:dyDescent="0.35">
      <c r="B323" s="7" t="s">
        <v>400</v>
      </c>
      <c r="C323" s="69">
        <f>C312*C325*C316/100*10^-6</f>
        <v>3.9594155844155847</v>
      </c>
      <c r="E323" s="63" t="s">
        <v>401</v>
      </c>
    </row>
    <row r="324" spans="1:9" ht="15" hidden="1" customHeight="1" outlineLevel="1" x14ac:dyDescent="0.35">
      <c r="B324" s="7" t="s">
        <v>402</v>
      </c>
      <c r="C324" s="69">
        <f>0.95*0.5*C323*1000</f>
        <v>1880.7224025974028</v>
      </c>
      <c r="E324" s="63" t="s">
        <v>207</v>
      </c>
    </row>
    <row r="325" spans="1:9" ht="15" hidden="1" customHeight="1" outlineLevel="1" x14ac:dyDescent="0.35">
      <c r="B325" s="7" t="s">
        <v>403</v>
      </c>
      <c r="C325" s="69">
        <f>C321*1000/(C312*C313/100*C317)</f>
        <v>1466.4502164502167</v>
      </c>
      <c r="E325" s="63" t="s">
        <v>404</v>
      </c>
      <c r="I325" s="94"/>
    </row>
    <row r="326" spans="1:9" ht="15" hidden="1" customHeight="1" outlineLevel="1" x14ac:dyDescent="0.35">
      <c r="A326" s="60"/>
      <c r="B326" s="61" t="s">
        <v>211</v>
      </c>
      <c r="C326" s="60"/>
      <c r="D326" s="60"/>
      <c r="E326" s="60"/>
      <c r="F326" s="60"/>
    </row>
    <row r="327" spans="1:9" ht="15" hidden="1" customHeight="1" outlineLevel="1" x14ac:dyDescent="0.35">
      <c r="B327" s="7" t="s">
        <v>405</v>
      </c>
      <c r="C327" s="71">
        <f>C325*C311/10^3</f>
        <v>7332.2510822510831</v>
      </c>
      <c r="E327" s="63" t="s">
        <v>224</v>
      </c>
    </row>
    <row r="328" spans="1:9" ht="15" hidden="1" customHeight="1" outlineLevel="1" x14ac:dyDescent="0.35">
      <c r="B328" s="7" t="s">
        <v>406</v>
      </c>
      <c r="C328" s="71">
        <f>C325*1000/10^3</f>
        <v>1466.4502164502167</v>
      </c>
      <c r="E328" s="63" t="s">
        <v>224</v>
      </c>
      <c r="F328" s="9" t="s">
        <v>407</v>
      </c>
    </row>
    <row r="329" spans="1:9" ht="15" hidden="1" customHeight="1" outlineLevel="1" x14ac:dyDescent="0.35">
      <c r="A329" s="72"/>
      <c r="B329" s="73" t="s">
        <v>215</v>
      </c>
      <c r="C329" s="74">
        <f>SUM(C327:C328)</f>
        <v>8798.7012987013004</v>
      </c>
      <c r="D329" s="72"/>
      <c r="E329" s="72"/>
      <c r="F329" s="72"/>
    </row>
    <row r="330" spans="1:9" ht="15" hidden="1" customHeight="1" outlineLevel="1" x14ac:dyDescent="0.35">
      <c r="A330" s="60"/>
      <c r="B330" s="61" t="s">
        <v>216</v>
      </c>
      <c r="C330" s="60"/>
      <c r="D330" s="60"/>
      <c r="E330" s="60"/>
      <c r="F330" s="60"/>
    </row>
    <row r="331" spans="1:9" ht="15" hidden="1" customHeight="1" outlineLevel="1" x14ac:dyDescent="0.35">
      <c r="B331" s="7" t="s">
        <v>408</v>
      </c>
      <c r="C331" s="71">
        <f>C323*C315</f>
        <v>237.56493506493507</v>
      </c>
      <c r="E331" s="63" t="s">
        <v>224</v>
      </c>
    </row>
    <row r="332" spans="1:9" ht="15" hidden="1" customHeight="1" outlineLevel="1" x14ac:dyDescent="0.35">
      <c r="B332" s="7" t="s">
        <v>409</v>
      </c>
      <c r="C332" s="71">
        <f>-C325*1000*C312*C313/100*C314/10^6</f>
        <v>-879.87012987013009</v>
      </c>
    </row>
    <row r="333" spans="1:9" ht="15" hidden="1" customHeight="1" outlineLevel="1" x14ac:dyDescent="0.35">
      <c r="A333" s="72"/>
      <c r="B333" s="73" t="s">
        <v>221</v>
      </c>
      <c r="C333" s="74">
        <f>SUM(C331:C332)</f>
        <v>-642.30519480519501</v>
      </c>
      <c r="D333" s="72"/>
      <c r="E333" s="72"/>
      <c r="F333" s="72"/>
    </row>
    <row r="334" spans="1:9" ht="15" hidden="1" customHeight="1" outlineLevel="1" x14ac:dyDescent="0.35">
      <c r="A334" s="60"/>
      <c r="B334" s="61" t="s">
        <v>222</v>
      </c>
      <c r="C334" s="60"/>
      <c r="D334" s="60"/>
      <c r="E334" s="60"/>
      <c r="F334" s="60"/>
    </row>
    <row r="335" spans="1:9" ht="15" hidden="1" customHeight="1" outlineLevel="1" x14ac:dyDescent="0.35">
      <c r="B335" s="77" t="s">
        <v>223</v>
      </c>
      <c r="C335" s="78">
        <f>C329</f>
        <v>8798.7012987013004</v>
      </c>
      <c r="E335" s="63" t="s">
        <v>224</v>
      </c>
    </row>
    <row r="336" spans="1:9" ht="15" hidden="1" customHeight="1" outlineLevel="1" x14ac:dyDescent="0.35">
      <c r="B336" s="77" t="s">
        <v>225</v>
      </c>
      <c r="C336" s="78">
        <f>C333</f>
        <v>-642.30519480519501</v>
      </c>
      <c r="E336" s="63" t="s">
        <v>226</v>
      </c>
    </row>
    <row r="337" spans="1:7" ht="15" hidden="1" customHeight="1" outlineLevel="1" x14ac:dyDescent="0.35">
      <c r="B337" s="77" t="s">
        <v>203</v>
      </c>
      <c r="C337" s="79">
        <f>C318</f>
        <v>15</v>
      </c>
      <c r="E337" s="63" t="s">
        <v>204</v>
      </c>
    </row>
    <row r="338" spans="1:7" ht="15" hidden="1" customHeight="1" outlineLevel="1" x14ac:dyDescent="0.35">
      <c r="B338" s="77" t="s">
        <v>206</v>
      </c>
      <c r="C338" s="80">
        <f>C321-C324</f>
        <v>2184.2775974025976</v>
      </c>
      <c r="E338" s="63" t="s">
        <v>207</v>
      </c>
    </row>
    <row r="339" spans="1:7" collapsed="1" x14ac:dyDescent="0.35"/>
    <row r="340" spans="1:7" ht="15" customHeight="1" x14ac:dyDescent="0.35">
      <c r="A340" s="2" t="s">
        <v>410</v>
      </c>
      <c r="B340" s="2"/>
      <c r="C340" s="2"/>
      <c r="D340" s="2"/>
      <c r="E340" s="2"/>
      <c r="F340" s="2"/>
      <c r="G340" s="59">
        <v>1</v>
      </c>
    </row>
    <row r="341" spans="1:7" ht="15" hidden="1" customHeight="1" outlineLevel="1" x14ac:dyDescent="0.35">
      <c r="A341" s="60"/>
      <c r="B341" s="61" t="s">
        <v>190</v>
      </c>
      <c r="C341" s="60"/>
      <c r="D341" s="60"/>
      <c r="E341" s="60"/>
      <c r="F341" s="60"/>
    </row>
    <row r="342" spans="1:7" ht="15" hidden="1" customHeight="1" outlineLevel="1" x14ac:dyDescent="0.35">
      <c r="B342" s="7" t="s">
        <v>411</v>
      </c>
      <c r="C342" s="62">
        <f>Выбросы!C11+Выбросы!C8*0.2</f>
        <v>73.56</v>
      </c>
      <c r="E342" s="63" t="s">
        <v>192</v>
      </c>
      <c r="F342" s="9" t="s">
        <v>193</v>
      </c>
    </row>
    <row r="343" spans="1:7" ht="15" hidden="1" customHeight="1" outlineLevel="1" x14ac:dyDescent="0.35">
      <c r="B343" s="7" t="s">
        <v>194</v>
      </c>
      <c r="C343" s="81">
        <f>C362/C342*10^-3</f>
        <v>0.12530235697811781</v>
      </c>
      <c r="F343" s="9" t="s">
        <v>228</v>
      </c>
    </row>
    <row r="344" spans="1:7" ht="15" hidden="1" customHeight="1" outlineLevel="1" x14ac:dyDescent="0.35">
      <c r="B344" s="7" t="s">
        <v>412</v>
      </c>
      <c r="C344" s="65">
        <f>MACC!$E$55</f>
        <v>100</v>
      </c>
      <c r="E344" s="63" t="s">
        <v>93</v>
      </c>
      <c r="F344" s="9" t="s">
        <v>413</v>
      </c>
    </row>
    <row r="345" spans="1:7" ht="15" hidden="1" customHeight="1" outlineLevel="1" x14ac:dyDescent="0.35">
      <c r="B345" s="7" t="s">
        <v>414</v>
      </c>
      <c r="C345" s="95">
        <f>M355</f>
        <v>3375</v>
      </c>
      <c r="E345" s="63" t="s">
        <v>415</v>
      </c>
      <c r="F345" s="9" t="s">
        <v>416</v>
      </c>
    </row>
    <row r="346" spans="1:7" ht="15" hidden="1" customHeight="1" outlineLevel="1" x14ac:dyDescent="0.35">
      <c r="B346" s="7" t="s">
        <v>417</v>
      </c>
      <c r="C346" s="70">
        <v>50</v>
      </c>
      <c r="E346" s="63" t="s">
        <v>404</v>
      </c>
      <c r="F346" s="9" t="s">
        <v>418</v>
      </c>
    </row>
    <row r="347" spans="1:7" ht="15" hidden="1" customHeight="1" outlineLevel="1" x14ac:dyDescent="0.35">
      <c r="B347" s="7" t="s">
        <v>419</v>
      </c>
      <c r="C347" s="8">
        <v>0.5</v>
      </c>
      <c r="F347" s="9" t="s">
        <v>420</v>
      </c>
    </row>
    <row r="348" spans="1:7" ht="15" hidden="1" customHeight="1" outlineLevel="1" x14ac:dyDescent="0.35">
      <c r="B348" s="7" t="s">
        <v>421</v>
      </c>
      <c r="C348" s="70">
        <f>C346*C345*10^3*C357*10^-6/(1-C358)</f>
        <v>48600</v>
      </c>
      <c r="E348" s="63" t="s">
        <v>422</v>
      </c>
    </row>
    <row r="349" spans="1:7" ht="15" hidden="1" customHeight="1" outlineLevel="1" x14ac:dyDescent="0.35">
      <c r="B349" s="7"/>
      <c r="C349" s="70">
        <f>C348/1.16</f>
        <v>41896.551724137935</v>
      </c>
      <c r="E349" s="63" t="s">
        <v>328</v>
      </c>
    </row>
    <row r="350" spans="1:7" ht="15" hidden="1" customHeight="1" outlineLevel="1" x14ac:dyDescent="0.35">
      <c r="B350" s="7" t="s">
        <v>423</v>
      </c>
      <c r="C350" s="70">
        <f>C348*(1-C347)</f>
        <v>24300</v>
      </c>
      <c r="E350" s="63" t="s">
        <v>209</v>
      </c>
    </row>
    <row r="351" spans="1:7" ht="15" hidden="1" customHeight="1" outlineLevel="1" x14ac:dyDescent="0.35">
      <c r="B351" s="7"/>
      <c r="C351" s="70">
        <f>C350/1.16</f>
        <v>20948.275862068967</v>
      </c>
      <c r="E351" s="63" t="s">
        <v>328</v>
      </c>
    </row>
    <row r="352" spans="1:7" ht="15" hidden="1" customHeight="1" outlineLevel="1" x14ac:dyDescent="0.35">
      <c r="B352" s="7" t="s">
        <v>64</v>
      </c>
      <c r="C352" s="67">
        <f>MACC!$E$41</f>
        <v>0.55000000000000004</v>
      </c>
      <c r="E352" s="63" t="s">
        <v>341</v>
      </c>
    </row>
    <row r="353" spans="1:13" ht="15" hidden="1" customHeight="1" outlineLevel="1" x14ac:dyDescent="0.35">
      <c r="B353" s="7" t="s">
        <v>203</v>
      </c>
      <c r="C353" s="68">
        <v>30</v>
      </c>
      <c r="E353" s="63" t="s">
        <v>204</v>
      </c>
    </row>
    <row r="354" spans="1:13" ht="15" hidden="1" customHeight="1" outlineLevel="1" x14ac:dyDescent="0.35">
      <c r="B354" s="7" t="s">
        <v>424</v>
      </c>
      <c r="C354" s="66">
        <f>(H355+I355)*(J355)*2/(H355*I355*K355)</f>
        <v>0.53333333333333333</v>
      </c>
      <c r="E354" s="63"/>
      <c r="H354" s="5" t="s">
        <v>425</v>
      </c>
      <c r="I354" s="5" t="s">
        <v>426</v>
      </c>
      <c r="J354" s="5" t="s">
        <v>427</v>
      </c>
      <c r="K354" s="5" t="s">
        <v>428</v>
      </c>
    </row>
    <row r="355" spans="1:13" ht="15" hidden="1" customHeight="1" outlineLevel="1" x14ac:dyDescent="0.35">
      <c r="B355" s="7" t="s">
        <v>342</v>
      </c>
      <c r="C355" s="67">
        <f>MACC!$E$42</f>
        <v>0.4</v>
      </c>
      <c r="E355" s="63"/>
      <c r="H355" s="5">
        <v>15</v>
      </c>
      <c r="I355" s="5">
        <v>45</v>
      </c>
      <c r="J355" s="5">
        <f>3*K355</f>
        <v>15</v>
      </c>
      <c r="K355">
        <v>5</v>
      </c>
      <c r="M355" s="5">
        <f>H355*I355*K355</f>
        <v>3375</v>
      </c>
    </row>
    <row r="356" spans="1:13" ht="15" hidden="1" customHeight="1" outlineLevel="1" x14ac:dyDescent="0.35">
      <c r="B356" s="7" t="s">
        <v>52</v>
      </c>
      <c r="C356" s="65">
        <f>MACC!$E$36</f>
        <v>15</v>
      </c>
      <c r="E356" s="63" t="s">
        <v>429</v>
      </c>
    </row>
    <row r="357" spans="1:13" ht="15" hidden="1" customHeight="1" outlineLevel="1" x14ac:dyDescent="0.35">
      <c r="B357" s="7" t="s">
        <v>430</v>
      </c>
      <c r="C357" s="66">
        <f>240*(1-0.1)</f>
        <v>216</v>
      </c>
      <c r="E357" s="63" t="s">
        <v>431</v>
      </c>
      <c r="F357" s="9" t="s">
        <v>432</v>
      </c>
    </row>
    <row r="358" spans="1:13" ht="15" hidden="1" customHeight="1" outlineLevel="1" x14ac:dyDescent="0.35">
      <c r="B358" s="7" t="s">
        <v>433</v>
      </c>
      <c r="C358" s="93">
        <v>0.25</v>
      </c>
      <c r="E358" s="63"/>
      <c r="F358" s="9" t="s">
        <v>434</v>
      </c>
    </row>
    <row r="359" spans="1:13" ht="15" hidden="1" customHeight="1" outlineLevel="1" x14ac:dyDescent="0.35">
      <c r="B359" s="7" t="s">
        <v>435</v>
      </c>
      <c r="C359" s="93">
        <v>0.2</v>
      </c>
      <c r="E359" s="63"/>
      <c r="F359" s="9" t="s">
        <v>436</v>
      </c>
    </row>
    <row r="360" spans="1:13" ht="15" hidden="1" customHeight="1" outlineLevel="1" x14ac:dyDescent="0.35"/>
    <row r="361" spans="1:13" ht="15" hidden="1" customHeight="1" outlineLevel="1" x14ac:dyDescent="0.35">
      <c r="A361" s="60"/>
      <c r="B361" s="61" t="s">
        <v>205</v>
      </c>
      <c r="C361" s="60"/>
      <c r="D361" s="60"/>
      <c r="E361" s="60"/>
      <c r="F361" s="60"/>
    </row>
    <row r="362" spans="1:13" ht="15" hidden="1" customHeight="1" outlineLevel="1" x14ac:dyDescent="0.35">
      <c r="B362" s="7" t="s">
        <v>206</v>
      </c>
      <c r="C362" s="69">
        <f>-(C351-C349)*C352*(1-C359)</f>
        <v>9217.241379310346</v>
      </c>
      <c r="E362" s="63" t="s">
        <v>207</v>
      </c>
    </row>
    <row r="363" spans="1:13" ht="15" hidden="1" customHeight="1" outlineLevel="1" x14ac:dyDescent="0.35">
      <c r="A363" s="60"/>
      <c r="B363" s="61" t="s">
        <v>211</v>
      </c>
      <c r="C363" s="60"/>
      <c r="D363" s="60"/>
      <c r="E363" s="60"/>
      <c r="F363" s="60"/>
    </row>
    <row r="364" spans="1:13" ht="15" hidden="1" customHeight="1" outlineLevel="1" x14ac:dyDescent="0.35">
      <c r="B364" s="7" t="s">
        <v>437</v>
      </c>
      <c r="C364" s="71">
        <f>C346*1000*C345*C344*C354/10^6</f>
        <v>9000</v>
      </c>
    </row>
    <row r="365" spans="1:13" ht="15" hidden="1" customHeight="1" outlineLevel="1" x14ac:dyDescent="0.35">
      <c r="B365" s="7" t="s">
        <v>438</v>
      </c>
      <c r="C365" s="71">
        <f>C364*0.2</f>
        <v>1800</v>
      </c>
      <c r="F365" s="9" t="s">
        <v>439</v>
      </c>
    </row>
    <row r="366" spans="1:13" ht="15" hidden="1" customHeight="1" outlineLevel="1" x14ac:dyDescent="0.35">
      <c r="A366" s="72"/>
      <c r="B366" s="73" t="s">
        <v>215</v>
      </c>
      <c r="C366" s="74">
        <f>SUM(C364:C365)</f>
        <v>10800</v>
      </c>
      <c r="D366" s="72"/>
      <c r="E366" s="72"/>
      <c r="F366" s="72"/>
    </row>
    <row r="367" spans="1:13" ht="15" hidden="1" customHeight="1" outlineLevel="1" x14ac:dyDescent="0.35">
      <c r="A367" s="60"/>
      <c r="B367" s="61" t="s">
        <v>216</v>
      </c>
      <c r="C367" s="60"/>
      <c r="D367" s="60"/>
      <c r="E367" s="60"/>
      <c r="F367" s="60"/>
    </row>
    <row r="368" spans="1:13" ht="15" hidden="1" customHeight="1" outlineLevel="1" x14ac:dyDescent="0.35">
      <c r="B368" s="96" t="s">
        <v>440</v>
      </c>
      <c r="C368" s="71">
        <f>C366*0.005</f>
        <v>54</v>
      </c>
    </row>
    <row r="369" spans="1:7" ht="15" hidden="1" customHeight="1" outlineLevel="1" x14ac:dyDescent="0.35">
      <c r="B369" s="96" t="s">
        <v>441</v>
      </c>
      <c r="C369" s="71">
        <f>C350*E369*10^-3</f>
        <v>-729</v>
      </c>
      <c r="E369" s="5">
        <v>-30</v>
      </c>
      <c r="F369" s="9" t="s">
        <v>442</v>
      </c>
    </row>
    <row r="370" spans="1:7" ht="15" hidden="1" customHeight="1" outlineLevel="1" x14ac:dyDescent="0.35">
      <c r="B370" s="96" t="s">
        <v>443</v>
      </c>
      <c r="C370" s="71">
        <f>E370*C356</f>
        <v>-94.267241379310349</v>
      </c>
      <c r="E370" s="76">
        <f>-C362*1000/(C355*44/12)/10^6</f>
        <v>-6.2844827586206895</v>
      </c>
      <c r="F370" s="9" t="s">
        <v>220</v>
      </c>
    </row>
    <row r="371" spans="1:7" ht="15" hidden="1" customHeight="1" outlineLevel="1" x14ac:dyDescent="0.35">
      <c r="A371" s="72"/>
      <c r="B371" s="73" t="s">
        <v>221</v>
      </c>
      <c r="C371" s="74">
        <f>SUM(C368:C370)</f>
        <v>-769.26724137931035</v>
      </c>
      <c r="D371" s="72"/>
      <c r="E371" s="72"/>
      <c r="F371" s="72"/>
    </row>
    <row r="372" spans="1:7" ht="15" hidden="1" customHeight="1" outlineLevel="1" x14ac:dyDescent="0.35">
      <c r="A372" s="60"/>
      <c r="B372" s="61" t="s">
        <v>222</v>
      </c>
      <c r="C372" s="60"/>
      <c r="D372" s="60"/>
      <c r="E372" s="60"/>
      <c r="F372" s="60"/>
    </row>
    <row r="373" spans="1:7" ht="15" hidden="1" customHeight="1" outlineLevel="1" x14ac:dyDescent="0.35">
      <c r="B373" s="77" t="s">
        <v>223</v>
      </c>
      <c r="C373" s="78">
        <f>C366</f>
        <v>10800</v>
      </c>
      <c r="E373" s="63" t="s">
        <v>224</v>
      </c>
    </row>
    <row r="374" spans="1:7" ht="15" hidden="1" customHeight="1" outlineLevel="1" x14ac:dyDescent="0.35">
      <c r="B374" s="77" t="s">
        <v>225</v>
      </c>
      <c r="C374" s="78">
        <f>C371</f>
        <v>-769.26724137931035</v>
      </c>
      <c r="E374" s="63" t="s">
        <v>226</v>
      </c>
    </row>
    <row r="375" spans="1:7" ht="15" hidden="1" customHeight="1" outlineLevel="1" x14ac:dyDescent="0.35">
      <c r="B375" s="77" t="s">
        <v>203</v>
      </c>
      <c r="C375" s="79">
        <f>C353</f>
        <v>30</v>
      </c>
      <c r="E375" s="63" t="s">
        <v>204</v>
      </c>
    </row>
    <row r="376" spans="1:7" ht="15" hidden="1" customHeight="1" outlineLevel="1" x14ac:dyDescent="0.35">
      <c r="B376" s="77" t="s">
        <v>206</v>
      </c>
      <c r="C376" s="80">
        <f>C362</f>
        <v>9217.241379310346</v>
      </c>
      <c r="E376" s="63" t="s">
        <v>207</v>
      </c>
    </row>
    <row r="377" spans="1:7" collapsed="1" x14ac:dyDescent="0.35"/>
    <row r="378" spans="1:7" ht="15" customHeight="1" x14ac:dyDescent="0.35">
      <c r="A378" s="2" t="s">
        <v>444</v>
      </c>
      <c r="B378" s="2"/>
      <c r="C378" s="2"/>
      <c r="D378" s="2"/>
      <c r="E378" s="2"/>
      <c r="F378" s="2"/>
      <c r="G378" s="59">
        <v>1</v>
      </c>
    </row>
    <row r="379" spans="1:7" ht="15" hidden="1" customHeight="1" outlineLevel="1" x14ac:dyDescent="0.35">
      <c r="A379" s="60"/>
      <c r="B379" s="61" t="s">
        <v>190</v>
      </c>
      <c r="C379" s="60"/>
      <c r="D379" s="60"/>
      <c r="E379" s="60"/>
      <c r="F379" s="60"/>
    </row>
    <row r="380" spans="1:7" ht="15" hidden="1" customHeight="1" outlineLevel="1" x14ac:dyDescent="0.35">
      <c r="B380" s="7" t="s">
        <v>411</v>
      </c>
      <c r="C380" s="62">
        <f>Выбросы!C11</f>
        <v>46.5</v>
      </c>
      <c r="E380" s="63" t="s">
        <v>192</v>
      </c>
      <c r="F380" s="9" t="s">
        <v>193</v>
      </c>
    </row>
    <row r="381" spans="1:7" ht="15" hidden="1" customHeight="1" outlineLevel="1" x14ac:dyDescent="0.35">
      <c r="B381" s="7" t="s">
        <v>194</v>
      </c>
      <c r="C381" s="8">
        <v>0.15</v>
      </c>
      <c r="F381" s="9" t="s">
        <v>228</v>
      </c>
    </row>
    <row r="382" spans="1:7" ht="15" hidden="1" customHeight="1" outlineLevel="1" x14ac:dyDescent="0.35">
      <c r="B382" s="7" t="s">
        <v>445</v>
      </c>
      <c r="C382" s="70">
        <v>5000</v>
      </c>
      <c r="E382" s="63" t="s">
        <v>446</v>
      </c>
      <c r="F382" s="9" t="s">
        <v>447</v>
      </c>
    </row>
    <row r="383" spans="1:7" ht="15" hidden="1" customHeight="1" outlineLevel="1" x14ac:dyDescent="0.35">
      <c r="B383" s="7" t="s">
        <v>448</v>
      </c>
      <c r="C383" s="91">
        <v>0.5</v>
      </c>
      <c r="E383" s="63" t="s">
        <v>449</v>
      </c>
    </row>
    <row r="384" spans="1:7" ht="15" hidden="1" customHeight="1" outlineLevel="1" x14ac:dyDescent="0.35">
      <c r="B384" s="7" t="s">
        <v>450</v>
      </c>
      <c r="C384" s="70">
        <v>300</v>
      </c>
      <c r="E384" s="63" t="s">
        <v>404</v>
      </c>
    </row>
    <row r="385" spans="1:6" ht="15" hidden="1" customHeight="1" outlineLevel="1" x14ac:dyDescent="0.35">
      <c r="B385" s="7" t="s">
        <v>451</v>
      </c>
      <c r="C385" s="70">
        <v>2</v>
      </c>
      <c r="E385" s="63" t="s">
        <v>452</v>
      </c>
    </row>
    <row r="386" spans="1:6" ht="15" hidden="1" customHeight="1" outlineLevel="1" x14ac:dyDescent="0.35">
      <c r="B386" s="7" t="s">
        <v>52</v>
      </c>
      <c r="C386" s="65">
        <f>MACC!$E$36</f>
        <v>15</v>
      </c>
      <c r="E386" s="63" t="s">
        <v>53</v>
      </c>
      <c r="F386" s="9" t="s">
        <v>234</v>
      </c>
    </row>
    <row r="387" spans="1:6" ht="15" hidden="1" customHeight="1" outlineLevel="1" x14ac:dyDescent="0.35">
      <c r="B387" s="7" t="s">
        <v>453</v>
      </c>
      <c r="C387" s="97">
        <f>MACC!$E$37</f>
        <v>250</v>
      </c>
      <c r="E387" s="63" t="s">
        <v>454</v>
      </c>
    </row>
    <row r="388" spans="1:6" ht="15" hidden="1" customHeight="1" outlineLevel="1" x14ac:dyDescent="0.35">
      <c r="B388" s="7" t="s">
        <v>203</v>
      </c>
      <c r="C388" s="68">
        <v>30</v>
      </c>
      <c r="E388" s="63" t="s">
        <v>204</v>
      </c>
    </row>
    <row r="389" spans="1:6" ht="15" hidden="1" customHeight="1" outlineLevel="1" x14ac:dyDescent="0.35">
      <c r="B389" s="7" t="s">
        <v>455</v>
      </c>
      <c r="C389" s="68">
        <v>12</v>
      </c>
      <c r="E389" s="63" t="s">
        <v>456</v>
      </c>
    </row>
    <row r="390" spans="1:6" ht="15" hidden="1" customHeight="1" outlineLevel="1" x14ac:dyDescent="0.35">
      <c r="A390" s="60"/>
      <c r="B390" s="61" t="s">
        <v>205</v>
      </c>
      <c r="C390" s="60"/>
      <c r="D390" s="60"/>
      <c r="E390" s="60"/>
      <c r="F390" s="60"/>
    </row>
    <row r="391" spans="1:6" ht="15" hidden="1" customHeight="1" outlineLevel="1" x14ac:dyDescent="0.35">
      <c r="B391" s="7" t="s">
        <v>206</v>
      </c>
      <c r="C391" s="69">
        <f>C380*C381*1000</f>
        <v>6975</v>
      </c>
      <c r="E391" s="63" t="s">
        <v>207</v>
      </c>
    </row>
    <row r="392" spans="1:6" ht="15" hidden="1" customHeight="1" outlineLevel="1" x14ac:dyDescent="0.35">
      <c r="B392" s="7" t="s">
        <v>300</v>
      </c>
      <c r="C392" s="69">
        <f>C389*C384*10^-3</f>
        <v>3.6</v>
      </c>
      <c r="E392" s="63" t="s">
        <v>457</v>
      </c>
    </row>
    <row r="393" spans="1:6" ht="15" hidden="1" customHeight="1" outlineLevel="1" x14ac:dyDescent="0.35">
      <c r="B393" s="7" t="s">
        <v>458</v>
      </c>
      <c r="C393" s="69">
        <f>C392*10^9*8180/4000*10^-9</f>
        <v>7.3620000000000001</v>
      </c>
      <c r="E393" s="63" t="s">
        <v>459</v>
      </c>
    </row>
    <row r="394" spans="1:6" ht="15" hidden="1" customHeight="1" outlineLevel="1" x14ac:dyDescent="0.35">
      <c r="A394" s="60"/>
      <c r="B394" s="61" t="s">
        <v>211</v>
      </c>
      <c r="C394" s="60"/>
      <c r="D394" s="60"/>
      <c r="E394" s="60"/>
      <c r="F394" s="60"/>
    </row>
    <row r="395" spans="1:6" ht="15" hidden="1" customHeight="1" outlineLevel="1" x14ac:dyDescent="0.35">
      <c r="B395" s="7" t="s">
        <v>460</v>
      </c>
      <c r="C395" s="71">
        <f>C382*C383</f>
        <v>2500</v>
      </c>
    </row>
    <row r="396" spans="1:6" ht="15" hidden="1" customHeight="1" outlineLevel="1" x14ac:dyDescent="0.35">
      <c r="B396" s="7" t="s">
        <v>461</v>
      </c>
      <c r="C396" s="71">
        <f>C384*C385/10^3</f>
        <v>0.6</v>
      </c>
    </row>
    <row r="397" spans="1:6" ht="15" hidden="1" customHeight="1" outlineLevel="1" x14ac:dyDescent="0.35">
      <c r="A397" s="72"/>
      <c r="B397" s="73" t="s">
        <v>215</v>
      </c>
      <c r="C397" s="74">
        <f>SUM(C395:C396)</f>
        <v>2500.6</v>
      </c>
      <c r="D397" s="72"/>
      <c r="E397" s="72"/>
      <c r="F397" s="72"/>
    </row>
    <row r="398" spans="1:6" ht="15" hidden="1" customHeight="1" outlineLevel="1" x14ac:dyDescent="0.35">
      <c r="A398" s="60"/>
      <c r="B398" s="61" t="s">
        <v>216</v>
      </c>
      <c r="C398" s="60"/>
      <c r="D398" s="60"/>
      <c r="E398" s="60"/>
      <c r="F398" s="60"/>
    </row>
    <row r="399" spans="1:6" ht="15" hidden="1" customHeight="1" outlineLevel="1" x14ac:dyDescent="0.35">
      <c r="B399" s="7" t="s">
        <v>462</v>
      </c>
      <c r="C399" s="71">
        <f>C397*0.03</f>
        <v>75.018000000000001</v>
      </c>
      <c r="E399" s="92">
        <v>0.03</v>
      </c>
      <c r="F399" s="9" t="s">
        <v>463</v>
      </c>
    </row>
    <row r="400" spans="1:6" ht="15" hidden="1" customHeight="1" outlineLevel="1" x14ac:dyDescent="0.35">
      <c r="B400" s="7" t="s">
        <v>300</v>
      </c>
      <c r="C400" s="71">
        <f>C392*C387</f>
        <v>900</v>
      </c>
      <c r="E400" s="63" t="s">
        <v>224</v>
      </c>
    </row>
    <row r="401" spans="1:7" ht="15" hidden="1" customHeight="1" outlineLevel="1" x14ac:dyDescent="0.35">
      <c r="B401" s="7" t="s">
        <v>244</v>
      </c>
      <c r="C401" s="71">
        <f>-C393*C386</f>
        <v>-110.43</v>
      </c>
      <c r="E401" s="63" t="s">
        <v>224</v>
      </c>
    </row>
    <row r="402" spans="1:7" ht="15" hidden="1" customHeight="1" outlineLevel="1" x14ac:dyDescent="0.35">
      <c r="A402" s="72"/>
      <c r="B402" s="73" t="s">
        <v>221</v>
      </c>
      <c r="C402" s="74">
        <f>SUM(C399:C401)</f>
        <v>864.58799999999997</v>
      </c>
      <c r="D402" s="72"/>
      <c r="E402" s="72"/>
      <c r="F402" s="72"/>
    </row>
    <row r="403" spans="1:7" ht="15" hidden="1" customHeight="1" outlineLevel="1" x14ac:dyDescent="0.35">
      <c r="A403" s="60"/>
      <c r="B403" s="61" t="s">
        <v>222</v>
      </c>
      <c r="C403" s="60"/>
      <c r="D403" s="60"/>
      <c r="E403" s="60"/>
      <c r="F403" s="60"/>
    </row>
    <row r="404" spans="1:7" ht="15" hidden="1" customHeight="1" outlineLevel="1" x14ac:dyDescent="0.35">
      <c r="B404" s="77" t="s">
        <v>223</v>
      </c>
      <c r="C404" s="78">
        <f>C397</f>
        <v>2500.6</v>
      </c>
      <c r="E404" s="63" t="s">
        <v>224</v>
      </c>
    </row>
    <row r="405" spans="1:7" ht="15" hidden="1" customHeight="1" outlineLevel="1" x14ac:dyDescent="0.35">
      <c r="B405" s="77" t="s">
        <v>225</v>
      </c>
      <c r="C405" s="78">
        <f>C402</f>
        <v>864.58799999999997</v>
      </c>
      <c r="E405" s="63" t="s">
        <v>226</v>
      </c>
    </row>
    <row r="406" spans="1:7" ht="15" hidden="1" customHeight="1" outlineLevel="1" x14ac:dyDescent="0.35">
      <c r="B406" s="77" t="s">
        <v>203</v>
      </c>
      <c r="C406" s="79">
        <f>C388</f>
        <v>30</v>
      </c>
      <c r="E406" s="63" t="s">
        <v>204</v>
      </c>
    </row>
    <row r="407" spans="1:7" ht="15" hidden="1" customHeight="1" outlineLevel="1" x14ac:dyDescent="0.35">
      <c r="B407" s="77" t="s">
        <v>206</v>
      </c>
      <c r="C407" s="80">
        <f>C391</f>
        <v>6975</v>
      </c>
      <c r="E407" s="63" t="s">
        <v>207</v>
      </c>
    </row>
    <row r="408" spans="1:7" collapsed="1" x14ac:dyDescent="0.35"/>
    <row r="409" spans="1:7" ht="15" customHeight="1" x14ac:dyDescent="0.35">
      <c r="A409" s="2" t="s">
        <v>464</v>
      </c>
      <c r="B409" s="2"/>
      <c r="C409" s="2"/>
      <c r="D409" s="2"/>
      <c r="E409" s="2"/>
      <c r="F409" s="2"/>
      <c r="G409" s="59">
        <v>1</v>
      </c>
    </row>
    <row r="410" spans="1:7" ht="15" hidden="1" customHeight="1" outlineLevel="1" x14ac:dyDescent="0.35">
      <c r="A410" s="60"/>
      <c r="B410" s="61" t="s">
        <v>190</v>
      </c>
      <c r="C410" s="60"/>
      <c r="D410" s="60"/>
      <c r="E410" s="60"/>
      <c r="F410" s="60"/>
    </row>
    <row r="411" spans="1:7" ht="15" hidden="1" customHeight="1" outlineLevel="1" x14ac:dyDescent="0.35">
      <c r="B411" s="7" t="s">
        <v>411</v>
      </c>
      <c r="C411" s="62">
        <f>Выбросы!C11</f>
        <v>46.5</v>
      </c>
      <c r="E411" s="63" t="s">
        <v>192</v>
      </c>
      <c r="F411" s="9" t="s">
        <v>193</v>
      </c>
    </row>
    <row r="412" spans="1:7" ht="15" hidden="1" customHeight="1" outlineLevel="1" x14ac:dyDescent="0.35">
      <c r="B412" s="7" t="s">
        <v>465</v>
      </c>
      <c r="C412" s="8">
        <v>0.5</v>
      </c>
      <c r="E412" s="63"/>
      <c r="F412" s="9"/>
    </row>
    <row r="413" spans="1:7" ht="16.5" hidden="1" customHeight="1" outlineLevel="1" x14ac:dyDescent="0.35">
      <c r="B413" s="7" t="s">
        <v>194</v>
      </c>
      <c r="C413" s="81">
        <v>0.5</v>
      </c>
      <c r="F413" s="9"/>
    </row>
    <row r="414" spans="1:7" ht="15" hidden="1" customHeight="1" outlineLevel="1" x14ac:dyDescent="0.35">
      <c r="B414" s="7" t="s">
        <v>358</v>
      </c>
      <c r="C414" s="65">
        <f>MACC!$E$52</f>
        <v>150</v>
      </c>
      <c r="E414" s="63" t="s">
        <v>72</v>
      </c>
      <c r="F414" s="9" t="s">
        <v>86</v>
      </c>
    </row>
    <row r="415" spans="1:7" ht="15" hidden="1" customHeight="1" outlineLevel="1" x14ac:dyDescent="0.35">
      <c r="B415" s="7" t="s">
        <v>466</v>
      </c>
      <c r="C415" s="8">
        <v>0.4</v>
      </c>
      <c r="E415" s="63" t="s">
        <v>359</v>
      </c>
    </row>
    <row r="416" spans="1:7" ht="15" hidden="1" customHeight="1" outlineLevel="1" x14ac:dyDescent="0.35">
      <c r="B416" s="7" t="s">
        <v>467</v>
      </c>
      <c r="C416" s="8">
        <v>0.3</v>
      </c>
      <c r="E416" s="63" t="s">
        <v>359</v>
      </c>
    </row>
    <row r="417" spans="1:6" ht="15" hidden="1" customHeight="1" outlineLevel="1" x14ac:dyDescent="0.35">
      <c r="B417" s="7" t="s">
        <v>468</v>
      </c>
      <c r="C417" s="70">
        <v>30</v>
      </c>
      <c r="E417" s="63" t="s">
        <v>469</v>
      </c>
      <c r="F417" s="9" t="s">
        <v>470</v>
      </c>
    </row>
    <row r="418" spans="1:6" ht="15" hidden="1" customHeight="1" outlineLevel="1" x14ac:dyDescent="0.35">
      <c r="B418" s="7" t="s">
        <v>360</v>
      </c>
      <c r="C418" s="70">
        <v>180</v>
      </c>
      <c r="E418" s="63" t="s">
        <v>340</v>
      </c>
    </row>
    <row r="419" spans="1:6" ht="15" hidden="1" customHeight="1" outlineLevel="1" x14ac:dyDescent="0.35">
      <c r="B419" s="7" t="s">
        <v>64</v>
      </c>
      <c r="C419" s="67">
        <f>MACC!$E$41</f>
        <v>0.55000000000000004</v>
      </c>
      <c r="E419" s="63" t="s">
        <v>341</v>
      </c>
    </row>
    <row r="420" spans="1:6" ht="15" hidden="1" customHeight="1" outlineLevel="1" x14ac:dyDescent="0.35">
      <c r="B420" s="7" t="s">
        <v>342</v>
      </c>
      <c r="C420" s="67">
        <f>MACC!$E$42</f>
        <v>0.4</v>
      </c>
      <c r="E420" s="63"/>
    </row>
    <row r="421" spans="1:6" ht="15" hidden="1" customHeight="1" outlineLevel="1" x14ac:dyDescent="0.35">
      <c r="B421" s="7" t="s">
        <v>278</v>
      </c>
      <c r="C421" s="66">
        <v>0.3</v>
      </c>
    </row>
    <row r="422" spans="1:6" ht="15" hidden="1" customHeight="1" outlineLevel="1" x14ac:dyDescent="0.35">
      <c r="B422" s="7" t="s">
        <v>361</v>
      </c>
      <c r="C422" s="70">
        <v>50</v>
      </c>
      <c r="E422" s="63" t="s">
        <v>59</v>
      </c>
    </row>
    <row r="423" spans="1:6" ht="15" hidden="1" customHeight="1" outlineLevel="1" x14ac:dyDescent="0.35">
      <c r="B423" s="7" t="s">
        <v>52</v>
      </c>
      <c r="C423" s="65">
        <f>MACC!$E$36</f>
        <v>15</v>
      </c>
      <c r="E423" s="63" t="s">
        <v>429</v>
      </c>
    </row>
    <row r="424" spans="1:6" ht="15" hidden="1" customHeight="1" outlineLevel="1" x14ac:dyDescent="0.35">
      <c r="B424" s="7" t="s">
        <v>203</v>
      </c>
      <c r="C424" s="68">
        <v>25</v>
      </c>
      <c r="E424" s="63" t="s">
        <v>204</v>
      </c>
    </row>
    <row r="425" spans="1:6" ht="15" hidden="1" customHeight="1" outlineLevel="1" x14ac:dyDescent="0.35">
      <c r="B425" s="7" t="s">
        <v>363</v>
      </c>
      <c r="C425" s="93">
        <v>0.1</v>
      </c>
      <c r="E425" s="63"/>
      <c r="F425" s="9" t="s">
        <v>364</v>
      </c>
    </row>
    <row r="426" spans="1:6" ht="15" hidden="1" customHeight="1" outlineLevel="1" x14ac:dyDescent="0.35">
      <c r="A426" s="60"/>
      <c r="B426" s="61" t="s">
        <v>205</v>
      </c>
      <c r="C426" s="60"/>
      <c r="D426" s="60"/>
      <c r="E426" s="60"/>
      <c r="F426" s="60"/>
    </row>
    <row r="427" spans="1:6" ht="15" hidden="1" customHeight="1" outlineLevel="1" x14ac:dyDescent="0.35">
      <c r="B427" s="7" t="s">
        <v>206</v>
      </c>
      <c r="C427" s="69">
        <f>C411*C412*C413*10^3</f>
        <v>11625</v>
      </c>
      <c r="E427" s="63" t="s">
        <v>207</v>
      </c>
    </row>
    <row r="428" spans="1:6" ht="15" hidden="1" customHeight="1" outlineLevel="1" x14ac:dyDescent="0.35">
      <c r="B428" s="7" t="s">
        <v>471</v>
      </c>
      <c r="C428" s="64">
        <f>C427/C419</f>
        <v>21136.363636363636</v>
      </c>
      <c r="E428" s="63" t="s">
        <v>367</v>
      </c>
    </row>
    <row r="429" spans="1:6" ht="15" hidden="1" customHeight="1" outlineLevel="1" x14ac:dyDescent="0.35">
      <c r="B429" s="7" t="s">
        <v>368</v>
      </c>
      <c r="C429" s="69">
        <f>C428*1000*1.163/(8760*C421)</f>
        <v>9353.7256122872568</v>
      </c>
      <c r="E429" s="63" t="s">
        <v>209</v>
      </c>
    </row>
    <row r="430" spans="1:6" ht="15" hidden="1" customHeight="1" outlineLevel="1" x14ac:dyDescent="0.35">
      <c r="B430" s="7" t="s">
        <v>349</v>
      </c>
      <c r="C430" s="69">
        <f>C428*1.163</f>
        <v>24581.590909090908</v>
      </c>
      <c r="E430" s="63" t="s">
        <v>350</v>
      </c>
    </row>
    <row r="431" spans="1:6" ht="15" hidden="1" customHeight="1" outlineLevel="1" x14ac:dyDescent="0.35">
      <c r="A431" s="60"/>
      <c r="B431" s="61" t="s">
        <v>211</v>
      </c>
      <c r="C431" s="60"/>
      <c r="D431" s="60"/>
      <c r="E431" s="60"/>
      <c r="F431" s="60"/>
    </row>
    <row r="432" spans="1:6" ht="15" hidden="1" customHeight="1" outlineLevel="1" x14ac:dyDescent="0.35">
      <c r="B432" s="7" t="s">
        <v>369</v>
      </c>
      <c r="C432" s="71">
        <f>C429*C414/1000</f>
        <v>1403.0588418430887</v>
      </c>
    </row>
    <row r="433" spans="1:7" ht="15" hidden="1" customHeight="1" outlineLevel="1" x14ac:dyDescent="0.35">
      <c r="B433" s="7" t="s">
        <v>370</v>
      </c>
      <c r="C433" s="71">
        <f>C432*C415</f>
        <v>561.22353673723546</v>
      </c>
    </row>
    <row r="434" spans="1:7" ht="15" hidden="1" customHeight="1" outlineLevel="1" x14ac:dyDescent="0.35">
      <c r="B434" s="7" t="s">
        <v>472</v>
      </c>
      <c r="C434" s="71">
        <f>C432*C416</f>
        <v>420.9176525529266</v>
      </c>
    </row>
    <row r="435" spans="1:7" ht="15" hidden="1" customHeight="1" outlineLevel="1" x14ac:dyDescent="0.35">
      <c r="B435" s="7" t="s">
        <v>473</v>
      </c>
      <c r="C435" s="71">
        <f>PV(MACC!$C$2,C424,C417*C429/1000)</f>
        <v>-2200.8771357975043</v>
      </c>
    </row>
    <row r="436" spans="1:7" ht="15" hidden="1" customHeight="1" outlineLevel="1" x14ac:dyDescent="0.35">
      <c r="A436" s="72"/>
      <c r="B436" s="73" t="s">
        <v>215</v>
      </c>
      <c r="C436" s="74">
        <f>SUM(C432:C435)</f>
        <v>184.32289533574658</v>
      </c>
      <c r="D436" s="72"/>
      <c r="E436" s="72"/>
      <c r="F436" s="72"/>
    </row>
    <row r="437" spans="1:7" ht="15" hidden="1" customHeight="1" outlineLevel="1" x14ac:dyDescent="0.35">
      <c r="A437" s="60"/>
      <c r="B437" s="61" t="s">
        <v>216</v>
      </c>
      <c r="C437" s="60"/>
      <c r="D437" s="60"/>
      <c r="E437" s="60"/>
      <c r="F437" s="60"/>
    </row>
    <row r="438" spans="1:7" ht="15" hidden="1" customHeight="1" outlineLevel="1" x14ac:dyDescent="0.35">
      <c r="B438" s="7" t="s">
        <v>217</v>
      </c>
      <c r="C438" s="71">
        <f>C432*0.02</f>
        <v>28.061176836861772</v>
      </c>
    </row>
    <row r="439" spans="1:7" ht="15" hidden="1" customHeight="1" outlineLevel="1" x14ac:dyDescent="0.35">
      <c r="B439" s="7" t="s">
        <v>474</v>
      </c>
      <c r="C439" s="71">
        <f>C430*C422/1000</f>
        <v>1229.0795454545455</v>
      </c>
    </row>
    <row r="440" spans="1:7" ht="15" hidden="1" customHeight="1" outlineLevel="1" x14ac:dyDescent="0.35">
      <c r="B440" s="7" t="s">
        <v>244</v>
      </c>
      <c r="C440" s="71">
        <f>E440*C423</f>
        <v>-118.89204545454545</v>
      </c>
      <c r="E440" s="76">
        <f>-C427*1000/(C420*44/12)/10^6</f>
        <v>-7.9261363636363633</v>
      </c>
      <c r="F440" s="9" t="s">
        <v>220</v>
      </c>
    </row>
    <row r="441" spans="1:7" ht="15" hidden="1" customHeight="1" outlineLevel="1" x14ac:dyDescent="0.35">
      <c r="A441" s="72"/>
      <c r="B441" s="73" t="s">
        <v>221</v>
      </c>
      <c r="C441" s="74">
        <f>SUM(C438:C440)</f>
        <v>1138.2486768368617</v>
      </c>
      <c r="D441" s="72"/>
      <c r="E441" s="72"/>
      <c r="F441" s="72"/>
    </row>
    <row r="442" spans="1:7" ht="15" hidden="1" customHeight="1" outlineLevel="1" x14ac:dyDescent="0.35">
      <c r="A442" s="60"/>
      <c r="B442" s="61" t="s">
        <v>222</v>
      </c>
      <c r="C442" s="60"/>
      <c r="D442" s="60"/>
      <c r="E442" s="60"/>
      <c r="F442" s="60"/>
    </row>
    <row r="443" spans="1:7" ht="15" hidden="1" customHeight="1" outlineLevel="1" x14ac:dyDescent="0.35">
      <c r="B443" s="77" t="s">
        <v>223</v>
      </c>
      <c r="C443" s="78">
        <f>C436</f>
        <v>184.32289533574658</v>
      </c>
      <c r="E443" s="63" t="s">
        <v>224</v>
      </c>
    </row>
    <row r="444" spans="1:7" ht="15" hidden="1" customHeight="1" outlineLevel="1" x14ac:dyDescent="0.35">
      <c r="B444" s="77" t="s">
        <v>225</v>
      </c>
      <c r="C444" s="78">
        <f>C441</f>
        <v>1138.2486768368617</v>
      </c>
      <c r="E444" s="63" t="s">
        <v>226</v>
      </c>
    </row>
    <row r="445" spans="1:7" ht="15" hidden="1" customHeight="1" outlineLevel="1" x14ac:dyDescent="0.35">
      <c r="B445" s="77" t="s">
        <v>203</v>
      </c>
      <c r="C445" s="79">
        <f>C424</f>
        <v>25</v>
      </c>
      <c r="E445" s="63" t="s">
        <v>204</v>
      </c>
    </row>
    <row r="446" spans="1:7" ht="15" hidden="1" customHeight="1" outlineLevel="1" x14ac:dyDescent="0.35">
      <c r="B446" s="77" t="s">
        <v>206</v>
      </c>
      <c r="C446" s="80">
        <f>C427</f>
        <v>11625</v>
      </c>
      <c r="E446" s="63" t="s">
        <v>207</v>
      </c>
    </row>
    <row r="447" spans="1:7" collapsed="1" x14ac:dyDescent="0.35"/>
    <row r="448" spans="1:7" ht="15" customHeight="1" x14ac:dyDescent="0.35">
      <c r="A448" s="2" t="s">
        <v>475</v>
      </c>
      <c r="B448" s="2"/>
      <c r="C448" s="2"/>
      <c r="D448" s="2"/>
      <c r="E448" s="2"/>
      <c r="F448" s="2"/>
      <c r="G448" s="98">
        <v>2</v>
      </c>
    </row>
    <row r="449" spans="1:6" ht="15" hidden="1" customHeight="1" outlineLevel="1" x14ac:dyDescent="0.35">
      <c r="A449" s="60"/>
      <c r="B449" s="61" t="s">
        <v>190</v>
      </c>
      <c r="C449" s="60"/>
      <c r="D449" s="60"/>
      <c r="E449" s="60"/>
      <c r="F449" s="60"/>
    </row>
    <row r="450" spans="1:6" ht="15" hidden="1" customHeight="1" outlineLevel="1" x14ac:dyDescent="0.35">
      <c r="B450" s="7" t="s">
        <v>476</v>
      </c>
      <c r="C450" s="62">
        <f>Выбросы!C15</f>
        <v>34.200000000000003</v>
      </c>
      <c r="E450" s="63" t="s">
        <v>192</v>
      </c>
      <c r="F450" s="9" t="s">
        <v>193</v>
      </c>
    </row>
    <row r="451" spans="1:6" ht="15" hidden="1" customHeight="1" outlineLevel="1" x14ac:dyDescent="0.35">
      <c r="B451" s="7" t="s">
        <v>194</v>
      </c>
      <c r="C451" s="8">
        <v>0.25</v>
      </c>
      <c r="F451" s="9" t="s">
        <v>228</v>
      </c>
    </row>
    <row r="452" spans="1:6" ht="15" hidden="1" customHeight="1" outlineLevel="1" x14ac:dyDescent="0.35">
      <c r="B452" s="7" t="s">
        <v>477</v>
      </c>
      <c r="C452" s="70">
        <v>5000</v>
      </c>
      <c r="E452" s="63" t="s">
        <v>478</v>
      </c>
      <c r="F452" s="9" t="s">
        <v>479</v>
      </c>
    </row>
    <row r="453" spans="1:6" ht="15" hidden="1" customHeight="1" outlineLevel="1" x14ac:dyDescent="0.35">
      <c r="B453" s="7" t="s">
        <v>480</v>
      </c>
      <c r="C453" s="70">
        <v>8</v>
      </c>
      <c r="E453" s="63" t="s">
        <v>481</v>
      </c>
      <c r="F453" s="9" t="s">
        <v>482</v>
      </c>
    </row>
    <row r="454" spans="1:6" ht="15" hidden="1" customHeight="1" outlineLevel="1" x14ac:dyDescent="0.35">
      <c r="B454" s="7" t="s">
        <v>483</v>
      </c>
      <c r="C454" s="70">
        <v>3</v>
      </c>
      <c r="E454" s="63" t="s">
        <v>481</v>
      </c>
      <c r="F454" s="9" t="s">
        <v>484</v>
      </c>
    </row>
    <row r="455" spans="1:6" ht="15" hidden="1" customHeight="1" outlineLevel="1" x14ac:dyDescent="0.35">
      <c r="B455" s="7" t="s">
        <v>485</v>
      </c>
      <c r="C455" s="70">
        <v>2</v>
      </c>
      <c r="E455" s="63" t="s">
        <v>486</v>
      </c>
      <c r="F455" s="9" t="s">
        <v>487</v>
      </c>
    </row>
    <row r="456" spans="1:6" ht="15" hidden="1" customHeight="1" outlineLevel="1" x14ac:dyDescent="0.35">
      <c r="B456" s="7" t="s">
        <v>488</v>
      </c>
      <c r="C456" s="70">
        <v>1.5</v>
      </c>
      <c r="E456" s="63" t="s">
        <v>486</v>
      </c>
      <c r="F456" s="9" t="s">
        <v>489</v>
      </c>
    </row>
    <row r="457" spans="1:6" ht="15" hidden="1" customHeight="1" outlineLevel="1" x14ac:dyDescent="0.35">
      <c r="B457" s="7" t="s">
        <v>203</v>
      </c>
      <c r="C457" s="68">
        <v>10</v>
      </c>
      <c r="E457" s="63" t="s">
        <v>204</v>
      </c>
    </row>
    <row r="458" spans="1:6" ht="15" hidden="1" customHeight="1" outlineLevel="1" x14ac:dyDescent="0.35">
      <c r="A458" s="60"/>
      <c r="B458" s="61" t="s">
        <v>205</v>
      </c>
      <c r="C458" s="60"/>
      <c r="D458" s="60"/>
      <c r="E458" s="60"/>
      <c r="F458" s="60"/>
    </row>
    <row r="459" spans="1:6" ht="15" hidden="1" customHeight="1" outlineLevel="1" x14ac:dyDescent="0.35">
      <c r="B459" s="7" t="s">
        <v>206</v>
      </c>
      <c r="C459" s="69">
        <f>C450*C451*1000</f>
        <v>8550</v>
      </c>
      <c r="E459" s="63" t="s">
        <v>207</v>
      </c>
    </row>
    <row r="460" spans="1:6" ht="15" hidden="1" customHeight="1" outlineLevel="1" x14ac:dyDescent="0.35">
      <c r="A460" s="60"/>
      <c r="B460" s="61" t="s">
        <v>211</v>
      </c>
      <c r="C460" s="60"/>
      <c r="D460" s="60"/>
      <c r="E460" s="60"/>
      <c r="F460" s="60"/>
    </row>
    <row r="461" spans="1:6" ht="15" hidden="1" customHeight="1" outlineLevel="1" x14ac:dyDescent="0.35">
      <c r="B461" s="7" t="s">
        <v>490</v>
      </c>
      <c r="C461" s="71">
        <f>C452*C453/10^3</f>
        <v>40</v>
      </c>
    </row>
    <row r="462" spans="1:6" ht="15" hidden="1" customHeight="1" outlineLevel="1" x14ac:dyDescent="0.35">
      <c r="B462" s="7" t="s">
        <v>491</v>
      </c>
      <c r="C462" s="71">
        <f>C452*C454/10^3</f>
        <v>15</v>
      </c>
    </row>
    <row r="463" spans="1:6" ht="15" hidden="1" customHeight="1" outlineLevel="1" x14ac:dyDescent="0.35">
      <c r="A463" s="72"/>
      <c r="B463" s="73" t="s">
        <v>215</v>
      </c>
      <c r="C463" s="74">
        <f>SUM(C461:C462)</f>
        <v>55</v>
      </c>
      <c r="D463" s="72"/>
      <c r="E463" s="72"/>
      <c r="F463" s="72"/>
    </row>
    <row r="464" spans="1:6" ht="15" hidden="1" customHeight="1" outlineLevel="1" x14ac:dyDescent="0.35">
      <c r="A464" s="60"/>
      <c r="B464" s="61" t="s">
        <v>216</v>
      </c>
      <c r="C464" s="60"/>
      <c r="D464" s="60"/>
      <c r="E464" s="60"/>
      <c r="F464" s="60"/>
    </row>
    <row r="465" spans="1:7" ht="15" hidden="1" customHeight="1" outlineLevel="1" x14ac:dyDescent="0.35">
      <c r="B465" s="7" t="s">
        <v>492</v>
      </c>
      <c r="C465" s="71">
        <f>C452*C455/10^3</f>
        <v>10</v>
      </c>
    </row>
    <row r="466" spans="1:7" ht="15" hidden="1" customHeight="1" outlineLevel="1" x14ac:dyDescent="0.35">
      <c r="B466" s="7" t="s">
        <v>493</v>
      </c>
      <c r="C466" s="71">
        <f>-C452*C456/10^3</f>
        <v>-7.5</v>
      </c>
    </row>
    <row r="467" spans="1:7" ht="15" hidden="1" customHeight="1" outlineLevel="1" x14ac:dyDescent="0.35">
      <c r="A467" s="72"/>
      <c r="B467" s="73" t="s">
        <v>221</v>
      </c>
      <c r="C467" s="74">
        <f>SUM(C465:C466)</f>
        <v>2.5</v>
      </c>
      <c r="D467" s="72"/>
      <c r="E467" s="72"/>
      <c r="F467" s="72"/>
    </row>
    <row r="468" spans="1:7" ht="15" hidden="1" customHeight="1" outlineLevel="1" x14ac:dyDescent="0.35">
      <c r="A468" s="60"/>
      <c r="B468" s="61" t="s">
        <v>222</v>
      </c>
      <c r="C468" s="60"/>
      <c r="D468" s="60"/>
      <c r="E468" s="60"/>
      <c r="F468" s="60"/>
    </row>
    <row r="469" spans="1:7" ht="15" hidden="1" customHeight="1" outlineLevel="1" x14ac:dyDescent="0.35">
      <c r="B469" s="77" t="s">
        <v>223</v>
      </c>
      <c r="C469" s="78">
        <f>C463</f>
        <v>55</v>
      </c>
      <c r="E469" s="63" t="s">
        <v>224</v>
      </c>
    </row>
    <row r="470" spans="1:7" ht="15" hidden="1" customHeight="1" outlineLevel="1" x14ac:dyDescent="0.35">
      <c r="B470" s="77" t="s">
        <v>225</v>
      </c>
      <c r="C470" s="78">
        <f>C467</f>
        <v>2.5</v>
      </c>
      <c r="E470" s="63" t="s">
        <v>226</v>
      </c>
    </row>
    <row r="471" spans="1:7" ht="15" hidden="1" customHeight="1" outlineLevel="1" x14ac:dyDescent="0.35">
      <c r="B471" s="77" t="s">
        <v>203</v>
      </c>
      <c r="C471" s="79">
        <f>C457</f>
        <v>10</v>
      </c>
      <c r="E471" s="63" t="s">
        <v>204</v>
      </c>
    </row>
    <row r="472" spans="1:7" ht="15" hidden="1" customHeight="1" outlineLevel="1" x14ac:dyDescent="0.35">
      <c r="B472" s="77" t="s">
        <v>206</v>
      </c>
      <c r="C472" s="80">
        <f>C459</f>
        <v>8550</v>
      </c>
      <c r="E472" s="63" t="s">
        <v>207</v>
      </c>
    </row>
    <row r="473" spans="1:7" collapsed="1" x14ac:dyDescent="0.35"/>
    <row r="474" spans="1:7" ht="15" customHeight="1" x14ac:dyDescent="0.35">
      <c r="A474" s="2" t="s">
        <v>494</v>
      </c>
      <c r="B474" s="2"/>
      <c r="C474" s="2"/>
      <c r="D474" s="2"/>
      <c r="E474" s="2"/>
      <c r="F474" s="2"/>
      <c r="G474" s="98">
        <v>2</v>
      </c>
    </row>
    <row r="475" spans="1:7" ht="15" hidden="1" customHeight="1" outlineLevel="1" x14ac:dyDescent="0.35">
      <c r="A475" s="60"/>
      <c r="B475" s="61" t="s">
        <v>190</v>
      </c>
      <c r="C475" s="60"/>
      <c r="D475" s="60"/>
      <c r="E475" s="60"/>
      <c r="F475" s="60"/>
    </row>
    <row r="476" spans="1:7" ht="15" hidden="1" customHeight="1" outlineLevel="1" x14ac:dyDescent="0.35">
      <c r="B476" s="7" t="s">
        <v>476</v>
      </c>
      <c r="C476" s="62">
        <f>Выбросы!C15</f>
        <v>34.200000000000003</v>
      </c>
      <c r="E476" s="63" t="s">
        <v>192</v>
      </c>
      <c r="F476" s="9" t="s">
        <v>193</v>
      </c>
    </row>
    <row r="477" spans="1:7" ht="15" hidden="1" customHeight="1" outlineLevel="1" x14ac:dyDescent="0.35">
      <c r="B477" s="7" t="s">
        <v>194</v>
      </c>
      <c r="C477" s="8">
        <v>0.2</v>
      </c>
      <c r="F477" s="9" t="s">
        <v>228</v>
      </c>
    </row>
    <row r="478" spans="1:7" ht="15" hidden="1" customHeight="1" outlineLevel="1" x14ac:dyDescent="0.35">
      <c r="B478" s="7" t="s">
        <v>495</v>
      </c>
      <c r="C478" s="70">
        <v>3</v>
      </c>
      <c r="E478" s="63" t="s">
        <v>496</v>
      </c>
      <c r="F478" s="9" t="s">
        <v>497</v>
      </c>
    </row>
    <row r="479" spans="1:7" ht="15" hidden="1" customHeight="1" outlineLevel="1" x14ac:dyDescent="0.35">
      <c r="B479" s="7" t="s">
        <v>498</v>
      </c>
      <c r="C479" s="70">
        <v>500</v>
      </c>
      <c r="E479" s="63" t="s">
        <v>499</v>
      </c>
      <c r="F479" s="9" t="s">
        <v>500</v>
      </c>
    </row>
    <row r="480" spans="1:7" ht="15" hidden="1" customHeight="1" outlineLevel="1" x14ac:dyDescent="0.35">
      <c r="B480" s="7" t="s">
        <v>501</v>
      </c>
      <c r="C480" s="70">
        <v>40</v>
      </c>
      <c r="E480" s="63" t="s">
        <v>59</v>
      </c>
      <c r="F480" s="9" t="s">
        <v>502</v>
      </c>
    </row>
    <row r="481" spans="1:6" ht="15" hidden="1" customHeight="1" outlineLevel="1" x14ac:dyDescent="0.35">
      <c r="B481" s="7" t="s">
        <v>203</v>
      </c>
      <c r="C481" s="68">
        <v>20</v>
      </c>
      <c r="E481" s="63" t="s">
        <v>204</v>
      </c>
    </row>
    <row r="482" spans="1:6" ht="15" hidden="1" customHeight="1" outlineLevel="1" x14ac:dyDescent="0.35">
      <c r="A482" s="60"/>
      <c r="B482" s="61" t="s">
        <v>205</v>
      </c>
      <c r="C482" s="60"/>
      <c r="D482" s="60"/>
      <c r="E482" s="60"/>
      <c r="F482" s="60"/>
    </row>
    <row r="483" spans="1:6" ht="15" hidden="1" customHeight="1" outlineLevel="1" x14ac:dyDescent="0.35">
      <c r="B483" s="7" t="s">
        <v>206</v>
      </c>
      <c r="C483" s="69">
        <f>C476*C477*1000</f>
        <v>6840.0000000000009</v>
      </c>
      <c r="E483" s="63" t="s">
        <v>207</v>
      </c>
    </row>
    <row r="484" spans="1:6" ht="15" hidden="1" customHeight="1" outlineLevel="1" x14ac:dyDescent="0.35">
      <c r="B484" s="7" t="s">
        <v>503</v>
      </c>
      <c r="C484" s="69">
        <f>C478*10^9*10/(3600*10^3)</f>
        <v>8333.3333333333339</v>
      </c>
      <c r="E484" s="63" t="s">
        <v>350</v>
      </c>
    </row>
    <row r="485" spans="1:6" ht="15" hidden="1" customHeight="1" outlineLevel="1" x14ac:dyDescent="0.35">
      <c r="A485" s="60"/>
      <c r="B485" s="61" t="s">
        <v>211</v>
      </c>
      <c r="C485" s="60"/>
      <c r="D485" s="60"/>
      <c r="E485" s="60"/>
      <c r="F485" s="60"/>
    </row>
    <row r="486" spans="1:6" ht="15" hidden="1" customHeight="1" outlineLevel="1" x14ac:dyDescent="0.35">
      <c r="B486" s="7" t="s">
        <v>504</v>
      </c>
      <c r="C486" s="71">
        <f>C478*10^6*C479/10^6</f>
        <v>1500</v>
      </c>
    </row>
    <row r="487" spans="1:6" ht="15" hidden="1" customHeight="1" outlineLevel="1" x14ac:dyDescent="0.35">
      <c r="B487" s="7" t="s">
        <v>505</v>
      </c>
      <c r="C487" s="71">
        <f>C486*0.25</f>
        <v>375</v>
      </c>
    </row>
    <row r="488" spans="1:6" ht="15" hidden="1" customHeight="1" outlineLevel="1" x14ac:dyDescent="0.35">
      <c r="A488" s="72"/>
      <c r="B488" s="73" t="s">
        <v>215</v>
      </c>
      <c r="C488" s="74">
        <f>SUM(C486:C487)</f>
        <v>1875</v>
      </c>
      <c r="D488" s="72"/>
      <c r="E488" s="72"/>
      <c r="F488" s="72"/>
    </row>
    <row r="489" spans="1:6" ht="15" hidden="1" customHeight="1" outlineLevel="1" x14ac:dyDescent="0.35">
      <c r="A489" s="60"/>
      <c r="B489" s="61" t="s">
        <v>216</v>
      </c>
      <c r="C489" s="60"/>
      <c r="D489" s="60"/>
      <c r="E489" s="60"/>
      <c r="F489" s="60"/>
    </row>
    <row r="490" spans="1:6" ht="15" hidden="1" customHeight="1" outlineLevel="1" x14ac:dyDescent="0.35">
      <c r="B490" s="7" t="s">
        <v>217</v>
      </c>
      <c r="C490" s="71">
        <f>C488*0.03</f>
        <v>56.25</v>
      </c>
    </row>
    <row r="491" spans="1:6" ht="15" hidden="1" customHeight="1" outlineLevel="1" x14ac:dyDescent="0.35">
      <c r="B491" s="7" t="s">
        <v>506</v>
      </c>
      <c r="C491" s="71">
        <f>-C484*C480/1000</f>
        <v>-333.33333333333337</v>
      </c>
    </row>
    <row r="492" spans="1:6" ht="15" hidden="1" customHeight="1" outlineLevel="1" x14ac:dyDescent="0.35">
      <c r="A492" s="72"/>
      <c r="B492" s="73" t="s">
        <v>221</v>
      </c>
      <c r="C492" s="74">
        <f>SUM(C490:C491)</f>
        <v>-277.08333333333337</v>
      </c>
      <c r="D492" s="72"/>
      <c r="E492" s="72"/>
      <c r="F492" s="72"/>
    </row>
    <row r="493" spans="1:6" ht="15" hidden="1" customHeight="1" outlineLevel="1" x14ac:dyDescent="0.35">
      <c r="A493" s="60"/>
      <c r="B493" s="61" t="s">
        <v>222</v>
      </c>
      <c r="C493" s="60"/>
      <c r="D493" s="60"/>
      <c r="E493" s="60"/>
      <c r="F493" s="60"/>
    </row>
    <row r="494" spans="1:6" ht="15" hidden="1" customHeight="1" outlineLevel="1" x14ac:dyDescent="0.35">
      <c r="B494" s="77" t="s">
        <v>223</v>
      </c>
      <c r="C494" s="78">
        <f>C488</f>
        <v>1875</v>
      </c>
      <c r="E494" s="63" t="s">
        <v>224</v>
      </c>
    </row>
    <row r="495" spans="1:6" ht="15" hidden="1" customHeight="1" outlineLevel="1" x14ac:dyDescent="0.35">
      <c r="B495" s="77" t="s">
        <v>225</v>
      </c>
      <c r="C495" s="78">
        <f>C492</f>
        <v>-277.08333333333337</v>
      </c>
      <c r="E495" s="63" t="s">
        <v>226</v>
      </c>
    </row>
    <row r="496" spans="1:6" ht="15" hidden="1" customHeight="1" outlineLevel="1" x14ac:dyDescent="0.35">
      <c r="B496" s="77" t="s">
        <v>203</v>
      </c>
      <c r="C496" s="79">
        <f>C481</f>
        <v>20</v>
      </c>
      <c r="E496" s="63" t="s">
        <v>204</v>
      </c>
    </row>
    <row r="497" spans="1:7" ht="15" hidden="1" customHeight="1" outlineLevel="1" x14ac:dyDescent="0.35">
      <c r="B497" s="77" t="s">
        <v>206</v>
      </c>
      <c r="C497" s="80">
        <f>C483</f>
        <v>6840.0000000000009</v>
      </c>
      <c r="E497" s="63" t="s">
        <v>207</v>
      </c>
    </row>
    <row r="498" spans="1:7" collapsed="1" x14ac:dyDescent="0.35"/>
    <row r="499" spans="1:7" ht="15" customHeight="1" x14ac:dyDescent="0.35">
      <c r="A499" s="2" t="s">
        <v>507</v>
      </c>
      <c r="B499" s="2"/>
      <c r="C499" s="2"/>
      <c r="D499" s="2"/>
      <c r="E499" s="2"/>
      <c r="F499" s="2"/>
      <c r="G499" s="59">
        <v>1</v>
      </c>
    </row>
    <row r="500" spans="1:7" ht="15" hidden="1" customHeight="1" outlineLevel="1" x14ac:dyDescent="0.35">
      <c r="A500" s="60"/>
      <c r="B500" s="61" t="s">
        <v>190</v>
      </c>
      <c r="C500" s="60"/>
      <c r="D500" s="60"/>
      <c r="E500" s="60"/>
      <c r="F500" s="60"/>
    </row>
    <row r="501" spans="1:7" ht="15" hidden="1" customHeight="1" outlineLevel="1" x14ac:dyDescent="0.35">
      <c r="B501" s="7" t="s">
        <v>476</v>
      </c>
      <c r="C501" s="62">
        <f>Выбросы!C14</f>
        <v>9.5</v>
      </c>
      <c r="E501" s="63" t="s">
        <v>192</v>
      </c>
      <c r="F501" s="9" t="s">
        <v>193</v>
      </c>
    </row>
    <row r="502" spans="1:7" ht="15" hidden="1" customHeight="1" outlineLevel="1" x14ac:dyDescent="0.35">
      <c r="B502" s="7" t="s">
        <v>194</v>
      </c>
      <c r="C502" s="8">
        <v>0.2</v>
      </c>
      <c r="F502" s="9" t="s">
        <v>228</v>
      </c>
    </row>
    <row r="503" spans="1:7" ht="15" hidden="1" customHeight="1" outlineLevel="1" x14ac:dyDescent="0.35">
      <c r="B503" s="7" t="s">
        <v>508</v>
      </c>
      <c r="C503" s="70">
        <v>300</v>
      </c>
      <c r="E503" s="63" t="s">
        <v>224</v>
      </c>
      <c r="F503" s="9" t="s">
        <v>509</v>
      </c>
    </row>
    <row r="504" spans="1:7" ht="15" hidden="1" customHeight="1" outlineLevel="1" x14ac:dyDescent="0.35">
      <c r="B504" s="7" t="s">
        <v>510</v>
      </c>
      <c r="C504" s="62">
        <f>C509*C505*10^-3</f>
        <v>1.4687693259121835</v>
      </c>
      <c r="E504" s="63" t="s">
        <v>226</v>
      </c>
      <c r="F504" s="9" t="s">
        <v>511</v>
      </c>
    </row>
    <row r="505" spans="1:7" ht="15" hidden="1" customHeight="1" outlineLevel="1" x14ac:dyDescent="0.35">
      <c r="B505" s="7" t="s">
        <v>512</v>
      </c>
      <c r="C505" s="70">
        <v>150</v>
      </c>
      <c r="E505" s="63" t="s">
        <v>283</v>
      </c>
      <c r="F505" s="9"/>
    </row>
    <row r="506" spans="1:7" ht="15" hidden="1" customHeight="1" outlineLevel="1" x14ac:dyDescent="0.35">
      <c r="B506" s="7" t="s">
        <v>203</v>
      </c>
      <c r="C506" s="68">
        <v>20</v>
      </c>
      <c r="E506" s="63" t="s">
        <v>204</v>
      </c>
    </row>
    <row r="507" spans="1:7" ht="15" hidden="1" customHeight="1" outlineLevel="1" x14ac:dyDescent="0.35">
      <c r="A507" s="60"/>
      <c r="B507" s="61" t="s">
        <v>205</v>
      </c>
      <c r="C507" s="60"/>
      <c r="D507" s="60"/>
      <c r="E507" s="60"/>
      <c r="F507" s="60"/>
    </row>
    <row r="508" spans="1:7" ht="15" hidden="1" customHeight="1" outlineLevel="1" x14ac:dyDescent="0.35">
      <c r="B508" s="7" t="s">
        <v>206</v>
      </c>
      <c r="C508" s="69">
        <f>C501*C502*1000</f>
        <v>1900.0000000000002</v>
      </c>
      <c r="E508" s="63" t="s">
        <v>207</v>
      </c>
    </row>
    <row r="509" spans="1:7" ht="15" hidden="1" customHeight="1" outlineLevel="1" x14ac:dyDescent="0.35">
      <c r="B509" s="7" t="s">
        <v>513</v>
      </c>
      <c r="C509" s="99">
        <f>C508/98/(12+16*2)*12/12*16/0.72</f>
        <v>9.7917955060812218</v>
      </c>
      <c r="E509" s="63" t="s">
        <v>243</v>
      </c>
    </row>
    <row r="510" spans="1:7" ht="15" hidden="1" customHeight="1" outlineLevel="1" x14ac:dyDescent="0.35">
      <c r="A510" s="60"/>
      <c r="B510" s="61" t="s">
        <v>211</v>
      </c>
      <c r="C510" s="60"/>
      <c r="D510" s="60"/>
      <c r="E510" s="60"/>
      <c r="F510" s="60"/>
    </row>
    <row r="511" spans="1:7" ht="15" hidden="1" customHeight="1" outlineLevel="1" x14ac:dyDescent="0.35">
      <c r="B511" s="7" t="s">
        <v>514</v>
      </c>
      <c r="C511" s="71">
        <f>C503</f>
        <v>300</v>
      </c>
    </row>
    <row r="512" spans="1:7" ht="15" hidden="1" customHeight="1" outlineLevel="1" x14ac:dyDescent="0.35">
      <c r="A512" s="72"/>
      <c r="B512" s="73" t="s">
        <v>215</v>
      </c>
      <c r="C512" s="74">
        <f>SUM(C511:C511)</f>
        <v>300</v>
      </c>
      <c r="D512" s="72"/>
      <c r="E512" s="72"/>
      <c r="F512" s="72"/>
    </row>
    <row r="513" spans="1:7" ht="15" hidden="1" customHeight="1" outlineLevel="1" x14ac:dyDescent="0.35">
      <c r="A513" s="60"/>
      <c r="B513" s="61" t="s">
        <v>216</v>
      </c>
      <c r="C513" s="60"/>
      <c r="D513" s="60"/>
      <c r="E513" s="60"/>
      <c r="F513" s="60"/>
    </row>
    <row r="514" spans="1:7" ht="15" hidden="1" customHeight="1" outlineLevel="1" x14ac:dyDescent="0.35">
      <c r="B514" s="7" t="s">
        <v>217</v>
      </c>
      <c r="C514" s="71">
        <f>C512*0.04</f>
        <v>12</v>
      </c>
    </row>
    <row r="515" spans="1:7" ht="15" hidden="1" customHeight="1" outlineLevel="1" x14ac:dyDescent="0.35">
      <c r="B515" s="7" t="s">
        <v>515</v>
      </c>
      <c r="C515" s="71">
        <f>-C504</f>
        <v>-1.4687693259121835</v>
      </c>
    </row>
    <row r="516" spans="1:7" ht="15" hidden="1" customHeight="1" outlineLevel="1" x14ac:dyDescent="0.35">
      <c r="A516" s="72"/>
      <c r="B516" s="73" t="s">
        <v>221</v>
      </c>
      <c r="C516" s="74">
        <f>SUM(C514:C515)</f>
        <v>10.531230674087816</v>
      </c>
      <c r="D516" s="72"/>
      <c r="E516" s="72"/>
      <c r="F516" s="72"/>
    </row>
    <row r="517" spans="1:7" ht="15" hidden="1" customHeight="1" outlineLevel="1" x14ac:dyDescent="0.35">
      <c r="A517" s="60"/>
      <c r="B517" s="61" t="s">
        <v>222</v>
      </c>
      <c r="C517" s="60"/>
      <c r="D517" s="60"/>
      <c r="E517" s="60"/>
      <c r="F517" s="60"/>
    </row>
    <row r="518" spans="1:7" ht="15" hidden="1" customHeight="1" outlineLevel="1" x14ac:dyDescent="0.35">
      <c r="B518" s="77" t="s">
        <v>223</v>
      </c>
      <c r="C518" s="78">
        <f>C512</f>
        <v>300</v>
      </c>
      <c r="E518" s="63" t="s">
        <v>224</v>
      </c>
    </row>
    <row r="519" spans="1:7" ht="15" hidden="1" customHeight="1" outlineLevel="1" x14ac:dyDescent="0.35">
      <c r="B519" s="77" t="s">
        <v>225</v>
      </c>
      <c r="C519" s="78">
        <f>C516</f>
        <v>10.531230674087816</v>
      </c>
      <c r="E519" s="63" t="s">
        <v>226</v>
      </c>
    </row>
    <row r="520" spans="1:7" ht="15" hidden="1" customHeight="1" outlineLevel="1" x14ac:dyDescent="0.35">
      <c r="B520" s="77" t="s">
        <v>203</v>
      </c>
      <c r="C520" s="79">
        <f>C506</f>
        <v>20</v>
      </c>
      <c r="E520" s="63" t="s">
        <v>204</v>
      </c>
    </row>
    <row r="521" spans="1:7" ht="15" hidden="1" customHeight="1" outlineLevel="1" x14ac:dyDescent="0.35">
      <c r="B521" s="77" t="s">
        <v>206</v>
      </c>
      <c r="C521" s="80">
        <f>C508</f>
        <v>1900.0000000000002</v>
      </c>
      <c r="E521" s="63" t="s">
        <v>207</v>
      </c>
    </row>
    <row r="522" spans="1:7" collapsed="1" x14ac:dyDescent="0.35"/>
    <row r="523" spans="1:7" ht="15" customHeight="1" x14ac:dyDescent="0.35">
      <c r="A523" s="2" t="s">
        <v>516</v>
      </c>
      <c r="B523" s="2"/>
      <c r="C523" s="2"/>
      <c r="D523" s="2"/>
      <c r="E523" s="2"/>
      <c r="F523" s="2"/>
      <c r="G523" s="59">
        <v>1</v>
      </c>
    </row>
    <row r="524" spans="1:7" ht="15" hidden="1" customHeight="1" outlineLevel="1" x14ac:dyDescent="0.35">
      <c r="A524" s="60"/>
      <c r="B524" s="61" t="s">
        <v>190</v>
      </c>
      <c r="C524" s="60"/>
      <c r="D524" s="60"/>
      <c r="E524" s="60"/>
      <c r="F524" s="60"/>
    </row>
    <row r="525" spans="1:7" ht="15" hidden="1" customHeight="1" outlineLevel="1" x14ac:dyDescent="0.35">
      <c r="B525" s="7" t="s">
        <v>476</v>
      </c>
      <c r="C525" s="62">
        <f>Выбросы!C15</f>
        <v>34.200000000000003</v>
      </c>
      <c r="E525" s="63" t="s">
        <v>192</v>
      </c>
      <c r="F525" s="9" t="s">
        <v>193</v>
      </c>
    </row>
    <row r="526" spans="1:7" ht="15" hidden="1" customHeight="1" outlineLevel="1" x14ac:dyDescent="0.35">
      <c r="B526" s="7" t="s">
        <v>194</v>
      </c>
      <c r="C526" s="8">
        <v>0.15</v>
      </c>
      <c r="F526" s="9" t="s">
        <v>228</v>
      </c>
    </row>
    <row r="527" spans="1:7" ht="15" hidden="1" customHeight="1" outlineLevel="1" x14ac:dyDescent="0.35">
      <c r="B527" s="7" t="s">
        <v>445</v>
      </c>
      <c r="C527" s="70">
        <v>20000</v>
      </c>
      <c r="E527" s="63" t="s">
        <v>446</v>
      </c>
      <c r="F527" s="9" t="s">
        <v>517</v>
      </c>
    </row>
    <row r="528" spans="1:7" ht="15" hidden="1" customHeight="1" outlineLevel="1" x14ac:dyDescent="0.35">
      <c r="B528" s="7" t="s">
        <v>518</v>
      </c>
      <c r="C528" s="8">
        <v>0.3</v>
      </c>
    </row>
    <row r="529" spans="1:6" ht="15" hidden="1" customHeight="1" outlineLevel="1" x14ac:dyDescent="0.35">
      <c r="B529" s="7" t="s">
        <v>198</v>
      </c>
      <c r="C529" s="91">
        <v>0.1</v>
      </c>
      <c r="E529" s="63" t="s">
        <v>449</v>
      </c>
      <c r="F529" s="9" t="s">
        <v>519</v>
      </c>
    </row>
    <row r="530" spans="1:6" ht="15" hidden="1" customHeight="1" outlineLevel="1" x14ac:dyDescent="0.35">
      <c r="B530" s="7" t="s">
        <v>520</v>
      </c>
      <c r="C530" s="65">
        <f>MACC!$E$37</f>
        <v>250</v>
      </c>
      <c r="E530" s="63" t="s">
        <v>283</v>
      </c>
      <c r="F530" s="9"/>
    </row>
    <row r="531" spans="1:6" ht="15" hidden="1" customHeight="1" outlineLevel="1" x14ac:dyDescent="0.35">
      <c r="B531" s="7" t="s">
        <v>203</v>
      </c>
      <c r="C531" s="68">
        <v>20</v>
      </c>
      <c r="E531" s="63" t="s">
        <v>204</v>
      </c>
    </row>
    <row r="532" spans="1:6" ht="15" hidden="1" customHeight="1" outlineLevel="1" x14ac:dyDescent="0.35">
      <c r="A532" s="60"/>
      <c r="B532" s="61" t="s">
        <v>205</v>
      </c>
      <c r="C532" s="60"/>
      <c r="D532" s="60"/>
      <c r="E532" s="60"/>
      <c r="F532" s="60"/>
    </row>
    <row r="533" spans="1:6" ht="15" hidden="1" customHeight="1" outlineLevel="1" x14ac:dyDescent="0.35">
      <c r="B533" s="7" t="s">
        <v>206</v>
      </c>
      <c r="C533" s="69">
        <f>C525*C526*1000</f>
        <v>5130</v>
      </c>
      <c r="E533" s="63" t="s">
        <v>207</v>
      </c>
    </row>
    <row r="534" spans="1:6" ht="15" hidden="1" customHeight="1" outlineLevel="1" x14ac:dyDescent="0.35">
      <c r="B534" s="7" t="s">
        <v>521</v>
      </c>
      <c r="C534" s="71">
        <f>C533/(12+16*2)*12/12*16*0.72*10^-3</f>
        <v>1.3431272727272727</v>
      </c>
      <c r="E534" s="63" t="s">
        <v>457</v>
      </c>
    </row>
    <row r="535" spans="1:6" ht="15" hidden="1" customHeight="1" outlineLevel="1" x14ac:dyDescent="0.35">
      <c r="A535" s="60"/>
      <c r="B535" s="61" t="s">
        <v>211</v>
      </c>
      <c r="C535" s="60"/>
      <c r="D535" s="60"/>
      <c r="E535" s="60"/>
      <c r="F535" s="60"/>
    </row>
    <row r="536" spans="1:6" ht="15" hidden="1" customHeight="1" outlineLevel="1" x14ac:dyDescent="0.35">
      <c r="B536" s="7" t="s">
        <v>522</v>
      </c>
      <c r="C536" s="71">
        <f>C527*C528*C529</f>
        <v>600</v>
      </c>
    </row>
    <row r="537" spans="1:6" ht="15" hidden="1" customHeight="1" outlineLevel="1" x14ac:dyDescent="0.35">
      <c r="B537" s="7" t="s">
        <v>523</v>
      </c>
      <c r="C537" s="71">
        <f>30</f>
        <v>30</v>
      </c>
      <c r="F537" s="9" t="s">
        <v>224</v>
      </c>
    </row>
    <row r="538" spans="1:6" ht="15" hidden="1" customHeight="1" outlineLevel="1" x14ac:dyDescent="0.35">
      <c r="A538" s="72"/>
      <c r="B538" s="73" t="s">
        <v>215</v>
      </c>
      <c r="C538" s="74">
        <f>SUM(C536:C537)</f>
        <v>630</v>
      </c>
      <c r="D538" s="72"/>
      <c r="E538" s="72"/>
      <c r="F538" s="72"/>
    </row>
    <row r="539" spans="1:6" ht="15" hidden="1" customHeight="1" outlineLevel="1" x14ac:dyDescent="0.35">
      <c r="A539" s="60"/>
      <c r="B539" s="61" t="s">
        <v>216</v>
      </c>
      <c r="C539" s="60"/>
      <c r="D539" s="60"/>
      <c r="E539" s="60"/>
      <c r="F539" s="60"/>
    </row>
    <row r="540" spans="1:6" ht="15" hidden="1" customHeight="1" outlineLevel="1" x14ac:dyDescent="0.35">
      <c r="B540" s="7" t="s">
        <v>524</v>
      </c>
      <c r="C540" s="71">
        <f>C538*0.03</f>
        <v>18.899999999999999</v>
      </c>
    </row>
    <row r="541" spans="1:6" ht="15" hidden="1" customHeight="1" outlineLevel="1" x14ac:dyDescent="0.35">
      <c r="B541" s="7" t="s">
        <v>525</v>
      </c>
      <c r="C541" s="71">
        <f>C530*C534</f>
        <v>335.78181818181815</v>
      </c>
      <c r="E541" s="63" t="s">
        <v>224</v>
      </c>
    </row>
    <row r="542" spans="1:6" ht="15" hidden="1" customHeight="1" outlineLevel="1" x14ac:dyDescent="0.35">
      <c r="A542" s="72"/>
      <c r="B542" s="73" t="s">
        <v>221</v>
      </c>
      <c r="C542" s="74">
        <f>SUM(C540:C541)</f>
        <v>354.68181818181813</v>
      </c>
      <c r="D542" s="72"/>
      <c r="E542" s="72"/>
      <c r="F542" s="72"/>
    </row>
    <row r="543" spans="1:6" ht="15" hidden="1" customHeight="1" outlineLevel="1" x14ac:dyDescent="0.35">
      <c r="A543" s="60"/>
      <c r="B543" s="61" t="s">
        <v>222</v>
      </c>
      <c r="C543" s="60"/>
      <c r="D543" s="60"/>
      <c r="E543" s="60"/>
      <c r="F543" s="60"/>
    </row>
    <row r="544" spans="1:6" ht="15" hidden="1" customHeight="1" outlineLevel="1" x14ac:dyDescent="0.35">
      <c r="B544" s="77" t="s">
        <v>223</v>
      </c>
      <c r="C544" s="78">
        <f>C538</f>
        <v>630</v>
      </c>
      <c r="E544" s="63" t="s">
        <v>224</v>
      </c>
    </row>
    <row r="545" spans="1:7" ht="15" hidden="1" customHeight="1" outlineLevel="1" x14ac:dyDescent="0.35">
      <c r="B545" s="77" t="s">
        <v>225</v>
      </c>
      <c r="C545" s="78">
        <f>C542</f>
        <v>354.68181818181813</v>
      </c>
      <c r="E545" s="63" t="s">
        <v>226</v>
      </c>
    </row>
    <row r="546" spans="1:7" ht="15" hidden="1" customHeight="1" outlineLevel="1" x14ac:dyDescent="0.35">
      <c r="B546" s="77" t="s">
        <v>203</v>
      </c>
      <c r="C546" s="79">
        <f>C531</f>
        <v>20</v>
      </c>
      <c r="E546" s="63" t="s">
        <v>204</v>
      </c>
    </row>
    <row r="547" spans="1:7" ht="15" hidden="1" customHeight="1" outlineLevel="1" x14ac:dyDescent="0.35">
      <c r="B547" s="77" t="s">
        <v>206</v>
      </c>
      <c r="C547" s="80">
        <f>C533</f>
        <v>5130</v>
      </c>
      <c r="E547" s="63" t="s">
        <v>207</v>
      </c>
    </row>
    <row r="548" spans="1:7" collapsed="1" x14ac:dyDescent="0.35"/>
    <row r="549" spans="1:7" ht="15" customHeight="1" x14ac:dyDescent="0.35">
      <c r="A549" s="2" t="s">
        <v>526</v>
      </c>
      <c r="B549" s="2"/>
      <c r="C549" s="2"/>
      <c r="D549" s="2"/>
      <c r="E549" s="2"/>
      <c r="F549" s="2"/>
      <c r="G549" s="100">
        <v>3</v>
      </c>
    </row>
    <row r="550" spans="1:7" ht="15" hidden="1" customHeight="1" outlineLevel="1" x14ac:dyDescent="0.35">
      <c r="A550" s="60"/>
      <c r="B550" s="61" t="s">
        <v>190</v>
      </c>
      <c r="C550" s="60"/>
      <c r="D550" s="60"/>
      <c r="E550" s="60"/>
      <c r="F550" s="60"/>
    </row>
    <row r="551" spans="1:7" ht="15" hidden="1" customHeight="1" outlineLevel="1" x14ac:dyDescent="0.35">
      <c r="B551" s="7" t="s">
        <v>527</v>
      </c>
      <c r="C551" s="10">
        <f>Выбросы!C17</f>
        <v>8.6</v>
      </c>
      <c r="E551" s="63" t="s">
        <v>192</v>
      </c>
      <c r="F551" s="9" t="s">
        <v>193</v>
      </c>
    </row>
    <row r="552" spans="1:7" ht="15" hidden="1" customHeight="1" outlineLevel="1" x14ac:dyDescent="0.35">
      <c r="B552" s="7" t="s">
        <v>194</v>
      </c>
      <c r="C552" s="8">
        <v>0.1</v>
      </c>
      <c r="F552" s="9" t="s">
        <v>228</v>
      </c>
    </row>
    <row r="553" spans="1:7" ht="15" hidden="1" customHeight="1" outlineLevel="1" x14ac:dyDescent="0.35">
      <c r="B553" s="7" t="s">
        <v>528</v>
      </c>
      <c r="C553" s="70">
        <v>4</v>
      </c>
      <c r="E553" s="63" t="s">
        <v>478</v>
      </c>
    </row>
    <row r="554" spans="1:7" ht="15" hidden="1" customHeight="1" outlineLevel="1" x14ac:dyDescent="0.35">
      <c r="B554" s="7" t="s">
        <v>198</v>
      </c>
      <c r="C554" s="70">
        <v>50</v>
      </c>
      <c r="E554" s="63" t="s">
        <v>529</v>
      </c>
      <c r="F554" s="9" t="s">
        <v>530</v>
      </c>
    </row>
    <row r="555" spans="1:7" ht="15" hidden="1" customHeight="1" outlineLevel="1" x14ac:dyDescent="0.35">
      <c r="B555" s="7" t="s">
        <v>531</v>
      </c>
      <c r="C555" s="70">
        <v>20</v>
      </c>
      <c r="E555" s="63" t="s">
        <v>53</v>
      </c>
      <c r="F555" s="9" t="s">
        <v>532</v>
      </c>
    </row>
    <row r="556" spans="1:7" ht="15" hidden="1" customHeight="1" outlineLevel="1" x14ac:dyDescent="0.35">
      <c r="B556" s="7" t="s">
        <v>533</v>
      </c>
      <c r="C556" s="70">
        <v>10</v>
      </c>
      <c r="E556" s="63" t="s">
        <v>534</v>
      </c>
      <c r="F556" s="9" t="s">
        <v>535</v>
      </c>
    </row>
    <row r="557" spans="1:7" ht="15" hidden="1" customHeight="1" outlineLevel="1" x14ac:dyDescent="0.35">
      <c r="B557" s="7" t="s">
        <v>536</v>
      </c>
      <c r="C557" s="70">
        <v>10</v>
      </c>
      <c r="E557" s="63" t="s">
        <v>537</v>
      </c>
      <c r="F557" s="9" t="s">
        <v>538</v>
      </c>
    </row>
    <row r="558" spans="1:7" ht="15" hidden="1" customHeight="1" outlineLevel="1" x14ac:dyDescent="0.35">
      <c r="B558" s="7" t="s">
        <v>203</v>
      </c>
      <c r="C558" s="68">
        <v>30</v>
      </c>
      <c r="E558" s="63" t="s">
        <v>204</v>
      </c>
    </row>
    <row r="559" spans="1:7" ht="15" hidden="1" customHeight="1" outlineLevel="1" x14ac:dyDescent="0.35">
      <c r="A559" s="60"/>
      <c r="B559" s="61" t="s">
        <v>205</v>
      </c>
      <c r="C559" s="60"/>
      <c r="D559" s="60"/>
      <c r="E559" s="60"/>
      <c r="F559" s="60"/>
    </row>
    <row r="560" spans="1:7" ht="15" hidden="1" customHeight="1" outlineLevel="1" x14ac:dyDescent="0.35">
      <c r="B560" s="7" t="s">
        <v>206</v>
      </c>
      <c r="C560" s="69">
        <f>C551*C552*1000</f>
        <v>860</v>
      </c>
      <c r="E560" s="63" t="s">
        <v>207</v>
      </c>
    </row>
    <row r="561" spans="1:7" ht="15" hidden="1" customHeight="1" outlineLevel="1" x14ac:dyDescent="0.35">
      <c r="A561" s="60"/>
      <c r="B561" s="61" t="s">
        <v>211</v>
      </c>
      <c r="C561" s="60"/>
      <c r="D561" s="60"/>
      <c r="E561" s="60"/>
      <c r="F561" s="60"/>
    </row>
    <row r="562" spans="1:7" ht="15" hidden="1" customHeight="1" outlineLevel="1" x14ac:dyDescent="0.35">
      <c r="B562" s="7" t="s">
        <v>539</v>
      </c>
      <c r="C562" s="71">
        <f>C553*C554</f>
        <v>200</v>
      </c>
    </row>
    <row r="563" spans="1:7" ht="15" hidden="1" customHeight="1" outlineLevel="1" x14ac:dyDescent="0.35">
      <c r="A563" s="72"/>
      <c r="B563" s="73" t="s">
        <v>215</v>
      </c>
      <c r="C563" s="74">
        <f>SUM(C562:C562)</f>
        <v>200</v>
      </c>
      <c r="D563" s="72"/>
      <c r="E563" s="72"/>
      <c r="F563" s="72"/>
    </row>
    <row r="564" spans="1:7" ht="15" hidden="1" customHeight="1" outlineLevel="1" x14ac:dyDescent="0.35">
      <c r="A564" s="60"/>
      <c r="B564" s="61" t="s">
        <v>216</v>
      </c>
      <c r="C564" s="60"/>
      <c r="D564" s="60"/>
      <c r="E564" s="60"/>
      <c r="F564" s="60"/>
    </row>
    <row r="565" spans="1:7" ht="15" hidden="1" customHeight="1" outlineLevel="1" x14ac:dyDescent="0.35">
      <c r="B565" s="7" t="s">
        <v>540</v>
      </c>
      <c r="C565" s="71">
        <f>C557*0.2*C555</f>
        <v>40</v>
      </c>
      <c r="F565" s="9" t="s">
        <v>541</v>
      </c>
    </row>
    <row r="566" spans="1:7" ht="15" hidden="1" customHeight="1" outlineLevel="1" x14ac:dyDescent="0.35">
      <c r="B566" s="7" t="s">
        <v>542</v>
      </c>
      <c r="C566" s="71">
        <f>-C557*0.2*C556</f>
        <v>-20</v>
      </c>
    </row>
    <row r="567" spans="1:7" ht="15" hidden="1" customHeight="1" outlineLevel="1" x14ac:dyDescent="0.35">
      <c r="A567" s="72"/>
      <c r="B567" s="73" t="s">
        <v>221</v>
      </c>
      <c r="C567" s="74">
        <f>SUM(C565:C566)</f>
        <v>20</v>
      </c>
      <c r="D567" s="72"/>
      <c r="E567" s="72"/>
      <c r="F567" s="72"/>
    </row>
    <row r="568" spans="1:7" ht="15" hidden="1" customHeight="1" outlineLevel="1" x14ac:dyDescent="0.35">
      <c r="A568" s="60"/>
      <c r="B568" s="61" t="s">
        <v>222</v>
      </c>
      <c r="C568" s="60"/>
      <c r="D568" s="60"/>
      <c r="E568" s="60"/>
      <c r="F568" s="60"/>
    </row>
    <row r="569" spans="1:7" ht="15" hidden="1" customHeight="1" outlineLevel="1" x14ac:dyDescent="0.35">
      <c r="B569" s="77" t="s">
        <v>223</v>
      </c>
      <c r="C569" s="78">
        <f>C563</f>
        <v>200</v>
      </c>
      <c r="E569" s="63" t="s">
        <v>224</v>
      </c>
    </row>
    <row r="570" spans="1:7" ht="15" hidden="1" customHeight="1" outlineLevel="1" x14ac:dyDescent="0.35">
      <c r="B570" s="77" t="s">
        <v>225</v>
      </c>
      <c r="C570" s="78">
        <f>C567</f>
        <v>20</v>
      </c>
      <c r="E570" s="63" t="s">
        <v>226</v>
      </c>
    </row>
    <row r="571" spans="1:7" ht="15" hidden="1" customHeight="1" outlineLevel="1" x14ac:dyDescent="0.35">
      <c r="B571" s="77" t="s">
        <v>203</v>
      </c>
      <c r="C571" s="79">
        <f>C558</f>
        <v>30</v>
      </c>
      <c r="E571" s="63" t="s">
        <v>204</v>
      </c>
    </row>
    <row r="572" spans="1:7" ht="15" hidden="1" customHeight="1" outlineLevel="1" x14ac:dyDescent="0.35">
      <c r="B572" s="77" t="s">
        <v>206</v>
      </c>
      <c r="C572" s="80">
        <f>C560</f>
        <v>860</v>
      </c>
      <c r="E572" s="63" t="s">
        <v>207</v>
      </c>
    </row>
    <row r="573" spans="1:7" collapsed="1" x14ac:dyDescent="0.35"/>
    <row r="574" spans="1:7" ht="15" customHeight="1" x14ac:dyDescent="0.35">
      <c r="A574" s="2" t="s">
        <v>666</v>
      </c>
      <c r="B574" s="2"/>
      <c r="C574" s="2"/>
      <c r="D574" s="2"/>
      <c r="E574" s="2"/>
      <c r="F574" s="2"/>
      <c r="G574" s="59">
        <v>1</v>
      </c>
    </row>
    <row r="575" spans="1:7" ht="15" hidden="1" customHeight="1" outlineLevel="1" x14ac:dyDescent="0.35">
      <c r="A575" s="60"/>
      <c r="B575" s="61" t="s">
        <v>190</v>
      </c>
      <c r="C575" s="60"/>
      <c r="D575" s="60"/>
      <c r="E575" s="60"/>
      <c r="F575" s="60"/>
    </row>
    <row r="576" spans="1:7" ht="15" hidden="1" customHeight="1" outlineLevel="1" x14ac:dyDescent="0.35">
      <c r="B576" s="7" t="s">
        <v>667</v>
      </c>
      <c r="C576" s="62">
        <f>Выбросы!C16</f>
        <v>27</v>
      </c>
      <c r="E576" s="63" t="s">
        <v>192</v>
      </c>
      <c r="F576" s="9" t="s">
        <v>193</v>
      </c>
    </row>
    <row r="577" spans="1:6" ht="15" hidden="1" customHeight="1" outlineLevel="1" x14ac:dyDescent="0.35">
      <c r="B577" s="7" t="s">
        <v>194</v>
      </c>
      <c r="C577" s="8">
        <v>0.08</v>
      </c>
      <c r="F577" s="9" t="s">
        <v>543</v>
      </c>
    </row>
    <row r="578" spans="1:6" ht="15" hidden="1" customHeight="1" outlineLevel="1" x14ac:dyDescent="0.35">
      <c r="B578" s="7" t="s">
        <v>544</v>
      </c>
      <c r="C578" s="95">
        <f>C584/C579</f>
        <v>3085.7142857142858</v>
      </c>
      <c r="E578" s="63" t="s">
        <v>545</v>
      </c>
      <c r="F578" s="9" t="s">
        <v>546</v>
      </c>
    </row>
    <row r="579" spans="1:6" ht="15" hidden="1" customHeight="1" outlineLevel="1" x14ac:dyDescent="0.35">
      <c r="B579" s="7" t="s">
        <v>547</v>
      </c>
      <c r="C579" s="93">
        <v>0.7</v>
      </c>
      <c r="E579" s="63"/>
      <c r="F579" s="9"/>
    </row>
    <row r="580" spans="1:6" ht="15" hidden="1" customHeight="1" outlineLevel="1" x14ac:dyDescent="0.35">
      <c r="B580" s="7" t="s">
        <v>548</v>
      </c>
      <c r="C580" s="65">
        <f>MACC!$E$56</f>
        <v>300</v>
      </c>
      <c r="E580" s="63" t="s">
        <v>96</v>
      </c>
      <c r="F580" s="9" t="s">
        <v>549</v>
      </c>
    </row>
    <row r="581" spans="1:6" ht="15" hidden="1" customHeight="1" outlineLevel="1" x14ac:dyDescent="0.35">
      <c r="B581" s="7" t="s">
        <v>550</v>
      </c>
      <c r="C581" s="70">
        <v>60</v>
      </c>
      <c r="E581" s="63" t="s">
        <v>551</v>
      </c>
      <c r="F581" s="9" t="s">
        <v>552</v>
      </c>
    </row>
    <row r="582" spans="1:6" ht="15" hidden="1" customHeight="1" outlineLevel="1" x14ac:dyDescent="0.35">
      <c r="B582" s="7" t="s">
        <v>203</v>
      </c>
      <c r="C582" s="68">
        <v>25</v>
      </c>
      <c r="E582" s="63" t="s">
        <v>204</v>
      </c>
    </row>
    <row r="583" spans="1:6" ht="15" hidden="1" customHeight="1" outlineLevel="1" x14ac:dyDescent="0.35">
      <c r="A583" s="60"/>
      <c r="B583" s="61" t="s">
        <v>205</v>
      </c>
      <c r="C583" s="60"/>
      <c r="D583" s="60"/>
      <c r="E583" s="60"/>
      <c r="F583" s="60"/>
    </row>
    <row r="584" spans="1:6" ht="15" hidden="1" customHeight="1" outlineLevel="1" x14ac:dyDescent="0.35">
      <c r="B584" s="7" t="s">
        <v>206</v>
      </c>
      <c r="C584" s="69">
        <f>C576*C577*1000</f>
        <v>2160</v>
      </c>
      <c r="E584" s="63" t="s">
        <v>207</v>
      </c>
    </row>
    <row r="585" spans="1:6" ht="15" hidden="1" customHeight="1" outlineLevel="1" x14ac:dyDescent="0.35">
      <c r="A585" s="60"/>
      <c r="B585" s="61" t="s">
        <v>211</v>
      </c>
      <c r="C585" s="60"/>
      <c r="D585" s="60"/>
      <c r="E585" s="60"/>
      <c r="F585" s="60"/>
    </row>
    <row r="586" spans="1:6" ht="15" hidden="1" customHeight="1" outlineLevel="1" x14ac:dyDescent="0.35">
      <c r="B586" s="7" t="s">
        <v>553</v>
      </c>
      <c r="C586" s="71">
        <f>C578*C580/10^3</f>
        <v>925.71428571428567</v>
      </c>
    </row>
    <row r="587" spans="1:6" ht="15" hidden="1" customHeight="1" outlineLevel="1" x14ac:dyDescent="0.35">
      <c r="B587" s="7" t="s">
        <v>554</v>
      </c>
      <c r="C587" s="71">
        <f>C586*0.3</f>
        <v>277.71428571428567</v>
      </c>
    </row>
    <row r="588" spans="1:6" ht="15" hidden="1" customHeight="1" outlineLevel="1" x14ac:dyDescent="0.35">
      <c r="A588" s="72"/>
      <c r="B588" s="73" t="s">
        <v>215</v>
      </c>
      <c r="C588" s="74">
        <f>SUM(C586:C587)</f>
        <v>1203.4285714285713</v>
      </c>
      <c r="D588" s="72"/>
      <c r="E588" s="72"/>
      <c r="F588" s="72"/>
    </row>
    <row r="589" spans="1:6" ht="15" hidden="1" customHeight="1" outlineLevel="1" x14ac:dyDescent="0.35">
      <c r="A589" s="60"/>
      <c r="B589" s="61" t="s">
        <v>216</v>
      </c>
      <c r="C589" s="60"/>
      <c r="D589" s="60"/>
      <c r="E589" s="60"/>
      <c r="F589" s="60"/>
    </row>
    <row r="590" spans="1:6" ht="15" hidden="1" customHeight="1" outlineLevel="1" x14ac:dyDescent="0.35">
      <c r="B590" s="7" t="s">
        <v>555</v>
      </c>
      <c r="C590" s="71">
        <f>C578*C581/10^3</f>
        <v>185.14285714285717</v>
      </c>
    </row>
    <row r="591" spans="1:6" ht="15" hidden="1" customHeight="1" outlineLevel="1" x14ac:dyDescent="0.35">
      <c r="A591" s="72"/>
      <c r="B591" s="73" t="s">
        <v>221</v>
      </c>
      <c r="C591" s="74">
        <f>SUM(C590:C590)</f>
        <v>185.14285714285717</v>
      </c>
      <c r="D591" s="72"/>
      <c r="E591" s="72"/>
      <c r="F591" s="72"/>
    </row>
    <row r="592" spans="1:6" ht="15" hidden="1" customHeight="1" outlineLevel="1" x14ac:dyDescent="0.35">
      <c r="A592" s="60"/>
      <c r="B592" s="61" t="s">
        <v>222</v>
      </c>
      <c r="C592" s="60"/>
      <c r="D592" s="60"/>
      <c r="E592" s="60"/>
      <c r="F592" s="60"/>
    </row>
    <row r="593" spans="1:7" ht="15" hidden="1" customHeight="1" outlineLevel="1" x14ac:dyDescent="0.35">
      <c r="B593" s="77" t="s">
        <v>223</v>
      </c>
      <c r="C593" s="78">
        <f>C588</f>
        <v>1203.4285714285713</v>
      </c>
      <c r="E593" s="63" t="s">
        <v>224</v>
      </c>
    </row>
    <row r="594" spans="1:7" ht="15" hidden="1" customHeight="1" outlineLevel="1" x14ac:dyDescent="0.35">
      <c r="B594" s="77" t="s">
        <v>225</v>
      </c>
      <c r="C594" s="78">
        <f>C591</f>
        <v>185.14285714285717</v>
      </c>
      <c r="E594" s="63" t="s">
        <v>226</v>
      </c>
    </row>
    <row r="595" spans="1:7" ht="15" hidden="1" customHeight="1" outlineLevel="1" x14ac:dyDescent="0.35">
      <c r="B595" s="77" t="s">
        <v>203</v>
      </c>
      <c r="C595" s="79">
        <f>C582</f>
        <v>25</v>
      </c>
      <c r="E595" s="63" t="s">
        <v>204</v>
      </c>
    </row>
    <row r="596" spans="1:7" ht="15" hidden="1" customHeight="1" outlineLevel="1" x14ac:dyDescent="0.35">
      <c r="B596" s="77" t="s">
        <v>206</v>
      </c>
      <c r="C596" s="80">
        <f>C584</f>
        <v>2160</v>
      </c>
      <c r="E596" s="63" t="s">
        <v>207</v>
      </c>
    </row>
    <row r="597" spans="1:7" collapsed="1" x14ac:dyDescent="0.35"/>
    <row r="598" spans="1:7" ht="15" customHeight="1" x14ac:dyDescent="0.35">
      <c r="A598" s="2" t="s">
        <v>556</v>
      </c>
      <c r="B598" s="2"/>
      <c r="C598" s="2"/>
      <c r="D598" s="2"/>
      <c r="E598" s="2"/>
      <c r="F598" s="2"/>
      <c r="G598" s="100">
        <v>3</v>
      </c>
    </row>
    <row r="599" spans="1:7" ht="15" hidden="1" customHeight="1" outlineLevel="1" x14ac:dyDescent="0.35">
      <c r="A599" s="60"/>
      <c r="B599" s="61" t="s">
        <v>190</v>
      </c>
      <c r="C599" s="60"/>
      <c r="D599" s="60"/>
      <c r="E599" s="60"/>
      <c r="F599" s="60"/>
    </row>
    <row r="600" spans="1:7" ht="15" hidden="1" customHeight="1" outlineLevel="1" x14ac:dyDescent="0.35">
      <c r="B600" s="7" t="s">
        <v>557</v>
      </c>
      <c r="C600" s="10">
        <f>Выбросы!C22</f>
        <v>17.8</v>
      </c>
      <c r="E600" s="63" t="s">
        <v>192</v>
      </c>
      <c r="F600" s="9" t="s">
        <v>193</v>
      </c>
    </row>
    <row r="601" spans="1:7" ht="15" hidden="1" customHeight="1" outlineLevel="1" x14ac:dyDescent="0.35">
      <c r="B601" s="7" t="s">
        <v>194</v>
      </c>
      <c r="C601" s="8">
        <v>0.1</v>
      </c>
      <c r="F601" s="9" t="s">
        <v>228</v>
      </c>
    </row>
    <row r="602" spans="1:7" ht="15" hidden="1" customHeight="1" outlineLevel="1" x14ac:dyDescent="0.35">
      <c r="B602" s="7" t="s">
        <v>558</v>
      </c>
      <c r="C602" s="70">
        <v>8500</v>
      </c>
      <c r="E602" s="63" t="s">
        <v>559</v>
      </c>
      <c r="F602" s="9" t="s">
        <v>560</v>
      </c>
    </row>
    <row r="603" spans="1:7" ht="15" hidden="1" customHeight="1" outlineLevel="1" x14ac:dyDescent="0.35">
      <c r="B603" s="7" t="s">
        <v>561</v>
      </c>
      <c r="C603" s="8">
        <v>0.3</v>
      </c>
      <c r="F603" s="9" t="s">
        <v>562</v>
      </c>
    </row>
    <row r="604" spans="1:7" ht="15" hidden="1" customHeight="1" outlineLevel="1" x14ac:dyDescent="0.35">
      <c r="B604" s="7" t="s">
        <v>563</v>
      </c>
      <c r="C604" s="70">
        <v>50</v>
      </c>
      <c r="E604" s="63" t="s">
        <v>564</v>
      </c>
      <c r="F604" s="9" t="s">
        <v>565</v>
      </c>
    </row>
    <row r="605" spans="1:7" ht="15" hidden="1" customHeight="1" outlineLevel="1" x14ac:dyDescent="0.35">
      <c r="B605" s="7" t="s">
        <v>566</v>
      </c>
      <c r="C605" s="70">
        <v>15</v>
      </c>
      <c r="E605" s="63" t="s">
        <v>567</v>
      </c>
    </row>
    <row r="606" spans="1:7" ht="15" hidden="1" customHeight="1" outlineLevel="1" x14ac:dyDescent="0.35">
      <c r="B606" s="7" t="s">
        <v>568</v>
      </c>
      <c r="C606" s="70">
        <v>20</v>
      </c>
      <c r="E606" s="63" t="s">
        <v>569</v>
      </c>
    </row>
    <row r="607" spans="1:7" ht="15" hidden="1" customHeight="1" outlineLevel="1" x14ac:dyDescent="0.35">
      <c r="B607" s="7" t="s">
        <v>570</v>
      </c>
      <c r="C607" s="70">
        <v>500</v>
      </c>
      <c r="E607" s="63" t="s">
        <v>571</v>
      </c>
    </row>
    <row r="608" spans="1:7" ht="15" hidden="1" customHeight="1" outlineLevel="1" x14ac:dyDescent="0.35">
      <c r="B608" s="7" t="s">
        <v>203</v>
      </c>
      <c r="C608" s="68">
        <v>10</v>
      </c>
      <c r="E608" s="63" t="s">
        <v>204</v>
      </c>
    </row>
    <row r="609" spans="1:6" ht="15" hidden="1" customHeight="1" outlineLevel="1" x14ac:dyDescent="0.35">
      <c r="A609" s="60"/>
      <c r="B609" s="61" t="s">
        <v>205</v>
      </c>
      <c r="C609" s="60"/>
      <c r="D609" s="60"/>
      <c r="E609" s="60"/>
      <c r="F609" s="60"/>
    </row>
    <row r="610" spans="1:6" ht="15" hidden="1" customHeight="1" outlineLevel="1" x14ac:dyDescent="0.35">
      <c r="B610" s="7" t="s">
        <v>206</v>
      </c>
      <c r="C610" s="69">
        <f>C600*C601*1000</f>
        <v>1780.0000000000002</v>
      </c>
      <c r="E610" s="63" t="s">
        <v>207</v>
      </c>
    </row>
    <row r="611" spans="1:6" ht="15" hidden="1" customHeight="1" outlineLevel="1" x14ac:dyDescent="0.35">
      <c r="B611" s="7" t="s">
        <v>572</v>
      </c>
      <c r="C611" s="69">
        <f>C602*C603</f>
        <v>2550</v>
      </c>
      <c r="E611" s="63" t="s">
        <v>559</v>
      </c>
    </row>
    <row r="612" spans="1:6" ht="15" hidden="1" customHeight="1" outlineLevel="1" x14ac:dyDescent="0.35">
      <c r="B612" s="7" t="s">
        <v>573</v>
      </c>
      <c r="C612" s="69">
        <f>C611*1000/C607</f>
        <v>5100</v>
      </c>
      <c r="E612" s="63" t="s">
        <v>478</v>
      </c>
    </row>
    <row r="613" spans="1:6" ht="15" hidden="1" customHeight="1" outlineLevel="1" x14ac:dyDescent="0.35">
      <c r="A613" s="60"/>
      <c r="B613" s="61" t="s">
        <v>211</v>
      </c>
      <c r="C613" s="60"/>
      <c r="D613" s="60"/>
      <c r="E613" s="60"/>
      <c r="F613" s="60"/>
    </row>
    <row r="614" spans="1:6" ht="15" hidden="1" customHeight="1" outlineLevel="1" x14ac:dyDescent="0.35">
      <c r="B614" s="7" t="s">
        <v>574</v>
      </c>
      <c r="C614" s="71">
        <f>C611*1000*C605/10^6</f>
        <v>38.25</v>
      </c>
    </row>
    <row r="615" spans="1:6" ht="15" hidden="1" customHeight="1" outlineLevel="1" x14ac:dyDescent="0.35">
      <c r="B615" s="7" t="s">
        <v>575</v>
      </c>
      <c r="C615" s="71">
        <f>C612*C606/10^3</f>
        <v>102</v>
      </c>
    </row>
    <row r="616" spans="1:6" ht="15" hidden="1" customHeight="1" outlineLevel="1" x14ac:dyDescent="0.35">
      <c r="A616" s="72"/>
      <c r="B616" s="73" t="s">
        <v>215</v>
      </c>
      <c r="C616" s="74">
        <f>SUM(C614:C615)</f>
        <v>140.25</v>
      </c>
      <c r="D616" s="72"/>
      <c r="E616" s="72"/>
      <c r="F616" s="72"/>
    </row>
    <row r="617" spans="1:6" ht="15" hidden="1" customHeight="1" outlineLevel="1" x14ac:dyDescent="0.35">
      <c r="A617" s="60"/>
      <c r="B617" s="61" t="s">
        <v>216</v>
      </c>
      <c r="C617" s="60"/>
      <c r="D617" s="60"/>
      <c r="E617" s="60"/>
      <c r="F617" s="60"/>
    </row>
    <row r="618" spans="1:6" ht="15" hidden="1" customHeight="1" outlineLevel="1" x14ac:dyDescent="0.35">
      <c r="B618" s="7" t="s">
        <v>576</v>
      </c>
      <c r="C618" s="71">
        <f>C611*1000*C604/10^6</f>
        <v>127.5</v>
      </c>
    </row>
    <row r="619" spans="1:6" ht="15" hidden="1" customHeight="1" outlineLevel="1" x14ac:dyDescent="0.35">
      <c r="B619" s="7" t="s">
        <v>577</v>
      </c>
      <c r="C619" s="71">
        <f>C612*5/10^3</f>
        <v>25.5</v>
      </c>
      <c r="F619" s="9" t="s">
        <v>578</v>
      </c>
    </row>
    <row r="620" spans="1:6" ht="15" hidden="1" customHeight="1" outlineLevel="1" x14ac:dyDescent="0.35">
      <c r="A620" s="72"/>
      <c r="B620" s="73" t="s">
        <v>221</v>
      </c>
      <c r="C620" s="74">
        <f>SUM(C618:C619)</f>
        <v>153</v>
      </c>
      <c r="D620" s="72"/>
      <c r="E620" s="72"/>
      <c r="F620" s="72"/>
    </row>
    <row r="621" spans="1:6" ht="15" hidden="1" customHeight="1" outlineLevel="1" x14ac:dyDescent="0.35">
      <c r="A621" s="60"/>
      <c r="B621" s="61" t="s">
        <v>222</v>
      </c>
      <c r="C621" s="60"/>
      <c r="D621" s="60"/>
      <c r="E621" s="60"/>
      <c r="F621" s="60"/>
    </row>
    <row r="622" spans="1:6" ht="15" hidden="1" customHeight="1" outlineLevel="1" x14ac:dyDescent="0.35">
      <c r="B622" s="77" t="s">
        <v>223</v>
      </c>
      <c r="C622" s="78">
        <f>C616</f>
        <v>140.25</v>
      </c>
      <c r="E622" s="63" t="s">
        <v>224</v>
      </c>
    </row>
    <row r="623" spans="1:6" ht="15" hidden="1" customHeight="1" outlineLevel="1" x14ac:dyDescent="0.35">
      <c r="B623" s="77" t="s">
        <v>225</v>
      </c>
      <c r="C623" s="78">
        <f>C620</f>
        <v>153</v>
      </c>
      <c r="E623" s="63" t="s">
        <v>226</v>
      </c>
    </row>
    <row r="624" spans="1:6" ht="15" hidden="1" customHeight="1" outlineLevel="1" x14ac:dyDescent="0.35">
      <c r="B624" s="77" t="s">
        <v>203</v>
      </c>
      <c r="C624" s="79">
        <f>C608</f>
        <v>10</v>
      </c>
      <c r="E624" s="63" t="s">
        <v>204</v>
      </c>
    </row>
    <row r="625" spans="1:7" ht="15" hidden="1" customHeight="1" outlineLevel="1" x14ac:dyDescent="0.35">
      <c r="B625" s="77" t="s">
        <v>206</v>
      </c>
      <c r="C625" s="80">
        <f>C610</f>
        <v>1780.0000000000002</v>
      </c>
      <c r="E625" s="63" t="s">
        <v>207</v>
      </c>
    </row>
    <row r="626" spans="1:7" collapsed="1" x14ac:dyDescent="0.35"/>
    <row r="627" spans="1:7" ht="15" customHeight="1" x14ac:dyDescent="0.35">
      <c r="A627" s="2" t="s">
        <v>579</v>
      </c>
      <c r="B627" s="2"/>
      <c r="C627" s="2"/>
      <c r="D627" s="2"/>
      <c r="E627" s="2"/>
      <c r="F627" s="2"/>
      <c r="G627" s="100">
        <v>3</v>
      </c>
    </row>
    <row r="628" spans="1:7" ht="15" hidden="1" customHeight="1" outlineLevel="1" x14ac:dyDescent="0.35">
      <c r="A628" s="60"/>
      <c r="B628" s="61" t="s">
        <v>190</v>
      </c>
      <c r="C628" s="60"/>
      <c r="D628" s="60"/>
      <c r="E628" s="60"/>
      <c r="F628" s="60"/>
    </row>
    <row r="629" spans="1:7" ht="15" hidden="1" customHeight="1" outlineLevel="1" x14ac:dyDescent="0.35">
      <c r="B629" s="7" t="s">
        <v>557</v>
      </c>
      <c r="C629" s="10">
        <v>42.8</v>
      </c>
      <c r="E629" s="63" t="s">
        <v>192</v>
      </c>
      <c r="F629" s="9" t="s">
        <v>193</v>
      </c>
    </row>
    <row r="630" spans="1:7" ht="15" hidden="1" customHeight="1" outlineLevel="1" x14ac:dyDescent="0.35">
      <c r="B630" s="7" t="s">
        <v>194</v>
      </c>
      <c r="C630" s="8">
        <v>0.08</v>
      </c>
      <c r="F630" s="9" t="s">
        <v>228</v>
      </c>
    </row>
    <row r="631" spans="1:7" ht="15" hidden="1" customHeight="1" outlineLevel="1" x14ac:dyDescent="0.35">
      <c r="B631" s="7" t="s">
        <v>580</v>
      </c>
      <c r="C631" s="70">
        <v>500</v>
      </c>
      <c r="E631" s="63" t="s">
        <v>478</v>
      </c>
      <c r="F631" s="9" t="s">
        <v>581</v>
      </c>
    </row>
    <row r="632" spans="1:7" ht="15" hidden="1" customHeight="1" outlineLevel="1" x14ac:dyDescent="0.35">
      <c r="B632" s="7" t="s">
        <v>582</v>
      </c>
      <c r="C632" s="91">
        <v>0.5</v>
      </c>
      <c r="E632" s="63" t="s">
        <v>224</v>
      </c>
      <c r="F632" s="9" t="s">
        <v>583</v>
      </c>
    </row>
    <row r="633" spans="1:7" ht="15" hidden="1" customHeight="1" outlineLevel="1" x14ac:dyDescent="0.35">
      <c r="B633" s="7" t="s">
        <v>584</v>
      </c>
      <c r="C633" s="70">
        <v>50</v>
      </c>
      <c r="E633" s="63" t="s">
        <v>585</v>
      </c>
    </row>
    <row r="634" spans="1:7" ht="15" hidden="1" customHeight="1" outlineLevel="1" x14ac:dyDescent="0.35">
      <c r="B634" s="7" t="s">
        <v>203</v>
      </c>
      <c r="C634" s="68">
        <v>15</v>
      </c>
      <c r="E634" s="63" t="s">
        <v>204</v>
      </c>
    </row>
    <row r="635" spans="1:7" ht="15" hidden="1" customHeight="1" outlineLevel="1" x14ac:dyDescent="0.35">
      <c r="A635" s="60"/>
      <c r="B635" s="61" t="s">
        <v>205</v>
      </c>
      <c r="C635" s="60"/>
      <c r="D635" s="60"/>
      <c r="E635" s="60"/>
      <c r="F635" s="60"/>
    </row>
    <row r="636" spans="1:7" ht="15" hidden="1" customHeight="1" outlineLevel="1" x14ac:dyDescent="0.35">
      <c r="B636" s="7" t="s">
        <v>206</v>
      </c>
      <c r="C636" s="69">
        <f>C629*C630*1000</f>
        <v>3424</v>
      </c>
      <c r="E636" s="63" t="s">
        <v>207</v>
      </c>
    </row>
    <row r="637" spans="1:7" ht="15" hidden="1" customHeight="1" outlineLevel="1" x14ac:dyDescent="0.35">
      <c r="A637" s="60"/>
      <c r="B637" s="61" t="s">
        <v>211</v>
      </c>
      <c r="C637" s="60"/>
      <c r="D637" s="60"/>
      <c r="E637" s="60"/>
      <c r="F637" s="60"/>
    </row>
    <row r="638" spans="1:7" ht="15" hidden="1" customHeight="1" outlineLevel="1" x14ac:dyDescent="0.35">
      <c r="B638" s="7" t="s">
        <v>586</v>
      </c>
      <c r="C638" s="71">
        <f>C631*C632</f>
        <v>250</v>
      </c>
    </row>
    <row r="639" spans="1:7" ht="15" hidden="1" customHeight="1" outlineLevel="1" x14ac:dyDescent="0.35">
      <c r="B639" s="7" t="s">
        <v>587</v>
      </c>
      <c r="C639" s="71">
        <f>C638*0.2</f>
        <v>50</v>
      </c>
    </row>
    <row r="640" spans="1:7" ht="15" hidden="1" customHeight="1" outlineLevel="1" x14ac:dyDescent="0.35">
      <c r="A640" s="72"/>
      <c r="B640" s="73" t="s">
        <v>215</v>
      </c>
      <c r="C640" s="74">
        <f>SUM(C638:C639)</f>
        <v>300</v>
      </c>
      <c r="D640" s="72"/>
      <c r="E640" s="72"/>
      <c r="F640" s="72"/>
    </row>
    <row r="641" spans="1:7" ht="15" hidden="1" customHeight="1" outlineLevel="1" x14ac:dyDescent="0.35">
      <c r="A641" s="60"/>
      <c r="B641" s="61" t="s">
        <v>216</v>
      </c>
      <c r="C641" s="60"/>
      <c r="D641" s="60"/>
      <c r="E641" s="60"/>
      <c r="F641" s="60"/>
    </row>
    <row r="642" spans="1:7" ht="15" hidden="1" customHeight="1" outlineLevel="1" x14ac:dyDescent="0.35">
      <c r="B642" s="7" t="s">
        <v>217</v>
      </c>
      <c r="C642" s="71">
        <f>C640*0.04</f>
        <v>12</v>
      </c>
    </row>
    <row r="643" spans="1:7" ht="15" hidden="1" customHeight="1" outlineLevel="1" x14ac:dyDescent="0.35">
      <c r="B643" s="7" t="s">
        <v>588</v>
      </c>
      <c r="C643" s="71">
        <f>-C631*C633/10^3</f>
        <v>-25</v>
      </c>
    </row>
    <row r="644" spans="1:7" ht="15" hidden="1" customHeight="1" outlineLevel="1" x14ac:dyDescent="0.35">
      <c r="A644" s="72"/>
      <c r="B644" s="73" t="s">
        <v>221</v>
      </c>
      <c r="C644" s="74">
        <f>SUM(C642:C643)</f>
        <v>-13</v>
      </c>
      <c r="D644" s="72"/>
      <c r="E644" s="72"/>
      <c r="F644" s="72"/>
    </row>
    <row r="645" spans="1:7" ht="15" hidden="1" customHeight="1" outlineLevel="1" x14ac:dyDescent="0.35">
      <c r="A645" s="60"/>
      <c r="B645" s="61" t="s">
        <v>222</v>
      </c>
      <c r="C645" s="60"/>
      <c r="D645" s="60"/>
      <c r="E645" s="60"/>
      <c r="F645" s="60"/>
    </row>
    <row r="646" spans="1:7" ht="15" hidden="1" customHeight="1" outlineLevel="1" x14ac:dyDescent="0.35">
      <c r="B646" s="77" t="s">
        <v>223</v>
      </c>
      <c r="C646" s="78">
        <f>C640</f>
        <v>300</v>
      </c>
      <c r="E646" s="63" t="s">
        <v>224</v>
      </c>
    </row>
    <row r="647" spans="1:7" ht="15" hidden="1" customHeight="1" outlineLevel="1" x14ac:dyDescent="0.35">
      <c r="B647" s="77" t="s">
        <v>225</v>
      </c>
      <c r="C647" s="78">
        <f>C644</f>
        <v>-13</v>
      </c>
      <c r="E647" s="63" t="s">
        <v>226</v>
      </c>
    </row>
    <row r="648" spans="1:7" ht="15" hidden="1" customHeight="1" outlineLevel="1" x14ac:dyDescent="0.35">
      <c r="B648" s="77" t="s">
        <v>203</v>
      </c>
      <c r="C648" s="79">
        <f>C634</f>
        <v>15</v>
      </c>
      <c r="E648" s="63" t="s">
        <v>204</v>
      </c>
    </row>
    <row r="649" spans="1:7" ht="15" hidden="1" customHeight="1" outlineLevel="1" x14ac:dyDescent="0.35">
      <c r="B649" s="77" t="s">
        <v>206</v>
      </c>
      <c r="C649" s="80">
        <f>C636</f>
        <v>3424</v>
      </c>
      <c r="E649" s="63" t="s">
        <v>207</v>
      </c>
    </row>
    <row r="650" spans="1:7" collapsed="1" x14ac:dyDescent="0.35"/>
    <row r="651" spans="1:7" ht="15" customHeight="1" x14ac:dyDescent="0.35">
      <c r="A651" s="2" t="s">
        <v>589</v>
      </c>
      <c r="B651" s="2"/>
      <c r="C651" s="2"/>
      <c r="D651" s="2"/>
      <c r="E651" s="2"/>
      <c r="F651" s="2"/>
      <c r="G651" s="100">
        <v>3</v>
      </c>
    </row>
    <row r="652" spans="1:7" ht="15" hidden="1" customHeight="1" outlineLevel="1" x14ac:dyDescent="0.35">
      <c r="A652" s="60"/>
      <c r="B652" s="61" t="s">
        <v>190</v>
      </c>
      <c r="C652" s="60"/>
      <c r="D652" s="60"/>
      <c r="E652" s="60"/>
      <c r="F652" s="60"/>
    </row>
    <row r="653" spans="1:7" ht="15" hidden="1" customHeight="1" outlineLevel="1" x14ac:dyDescent="0.35">
      <c r="B653" s="7" t="s">
        <v>557</v>
      </c>
      <c r="C653" s="10">
        <v>42.8</v>
      </c>
      <c r="E653" s="63" t="s">
        <v>192</v>
      </c>
      <c r="F653" s="9" t="s">
        <v>193</v>
      </c>
    </row>
    <row r="654" spans="1:7" ht="15" hidden="1" customHeight="1" outlineLevel="1" x14ac:dyDescent="0.35">
      <c r="B654" s="7" t="s">
        <v>194</v>
      </c>
      <c r="C654" s="8">
        <v>0.1</v>
      </c>
      <c r="F654" s="9" t="s">
        <v>228</v>
      </c>
    </row>
    <row r="655" spans="1:7" ht="15" hidden="1" customHeight="1" outlineLevel="1" x14ac:dyDescent="0.35">
      <c r="B655" s="7" t="s">
        <v>590</v>
      </c>
      <c r="C655" s="70">
        <v>5000</v>
      </c>
      <c r="E655" s="63" t="s">
        <v>591</v>
      </c>
      <c r="F655" s="9" t="s">
        <v>592</v>
      </c>
    </row>
    <row r="656" spans="1:7" ht="15" hidden="1" customHeight="1" outlineLevel="1" x14ac:dyDescent="0.35">
      <c r="B656" s="7" t="s">
        <v>593</v>
      </c>
      <c r="C656" s="70">
        <v>30</v>
      </c>
      <c r="E656" s="63" t="s">
        <v>99</v>
      </c>
      <c r="F656" s="9" t="s">
        <v>594</v>
      </c>
    </row>
    <row r="657" spans="1:6" ht="15" hidden="1" customHeight="1" outlineLevel="1" x14ac:dyDescent="0.35">
      <c r="B657" s="7" t="s">
        <v>595</v>
      </c>
      <c r="C657" s="70">
        <v>15</v>
      </c>
      <c r="E657" s="63" t="s">
        <v>596</v>
      </c>
      <c r="F657" s="9" t="s">
        <v>597</v>
      </c>
    </row>
    <row r="658" spans="1:6" ht="15" hidden="1" customHeight="1" outlineLevel="1" x14ac:dyDescent="0.35">
      <c r="B658" s="7" t="s">
        <v>203</v>
      </c>
      <c r="C658" s="68">
        <v>10</v>
      </c>
      <c r="E658" s="63" t="s">
        <v>204</v>
      </c>
    </row>
    <row r="659" spans="1:6" ht="15" hidden="1" customHeight="1" outlineLevel="1" x14ac:dyDescent="0.35">
      <c r="A659" s="60"/>
      <c r="B659" s="61" t="s">
        <v>205</v>
      </c>
      <c r="C659" s="60"/>
      <c r="D659" s="60"/>
      <c r="E659" s="60"/>
      <c r="F659" s="60"/>
    </row>
    <row r="660" spans="1:6" ht="15" hidden="1" customHeight="1" outlineLevel="1" x14ac:dyDescent="0.35">
      <c r="B660" s="7" t="s">
        <v>206</v>
      </c>
      <c r="C660" s="69">
        <f>C653*C654*1000</f>
        <v>4280</v>
      </c>
      <c r="E660" s="63" t="s">
        <v>207</v>
      </c>
    </row>
    <row r="661" spans="1:6" ht="15" hidden="1" customHeight="1" outlineLevel="1" x14ac:dyDescent="0.35">
      <c r="A661" s="60"/>
      <c r="B661" s="61" t="s">
        <v>211</v>
      </c>
      <c r="C661" s="60"/>
      <c r="D661" s="60"/>
      <c r="E661" s="60"/>
      <c r="F661" s="60"/>
    </row>
    <row r="662" spans="1:6" ht="15" hidden="1" customHeight="1" outlineLevel="1" x14ac:dyDescent="0.35">
      <c r="B662" s="7" t="s">
        <v>598</v>
      </c>
      <c r="C662" s="71">
        <f>C655*C656*1000/10^6</f>
        <v>150</v>
      </c>
    </row>
    <row r="663" spans="1:6" ht="15" hidden="1" customHeight="1" outlineLevel="1" x14ac:dyDescent="0.35">
      <c r="B663" s="7" t="s">
        <v>599</v>
      </c>
      <c r="C663" s="71">
        <f>30</f>
        <v>30</v>
      </c>
      <c r="F663" s="9" t="s">
        <v>224</v>
      </c>
    </row>
    <row r="664" spans="1:6" ht="15" hidden="1" customHeight="1" outlineLevel="1" x14ac:dyDescent="0.35">
      <c r="A664" s="72"/>
      <c r="B664" s="73" t="s">
        <v>215</v>
      </c>
      <c r="C664" s="74">
        <f>SUM(C662:C663)</f>
        <v>180</v>
      </c>
      <c r="D664" s="72"/>
      <c r="E664" s="72"/>
      <c r="F664" s="72"/>
    </row>
    <row r="665" spans="1:6" ht="15" hidden="1" customHeight="1" outlineLevel="1" x14ac:dyDescent="0.35">
      <c r="A665" s="60"/>
      <c r="B665" s="61" t="s">
        <v>216</v>
      </c>
      <c r="C665" s="60"/>
      <c r="D665" s="60"/>
      <c r="E665" s="60"/>
      <c r="F665" s="60"/>
    </row>
    <row r="666" spans="1:6" ht="15" hidden="1" customHeight="1" outlineLevel="1" x14ac:dyDescent="0.35">
      <c r="B666" s="7" t="s">
        <v>600</v>
      </c>
      <c r="C666" s="71">
        <f>C664*0.05</f>
        <v>9</v>
      </c>
    </row>
    <row r="667" spans="1:6" ht="15" hidden="1" customHeight="1" outlineLevel="1" x14ac:dyDescent="0.35">
      <c r="B667" s="7" t="s">
        <v>601</v>
      </c>
      <c r="C667" s="71">
        <f>-C655*C657*1000/10^6</f>
        <v>-75</v>
      </c>
    </row>
    <row r="668" spans="1:6" ht="15" hidden="1" customHeight="1" outlineLevel="1" x14ac:dyDescent="0.35">
      <c r="A668" s="72"/>
      <c r="B668" s="73" t="s">
        <v>221</v>
      </c>
      <c r="C668" s="74">
        <f>SUM(C666:C667)</f>
        <v>-66</v>
      </c>
      <c r="D668" s="72"/>
      <c r="E668" s="72"/>
      <c r="F668" s="72"/>
    </row>
    <row r="669" spans="1:6" ht="15" hidden="1" customHeight="1" outlineLevel="1" x14ac:dyDescent="0.35">
      <c r="A669" s="60"/>
      <c r="B669" s="61" t="s">
        <v>222</v>
      </c>
      <c r="C669" s="60"/>
      <c r="D669" s="60"/>
      <c r="E669" s="60"/>
      <c r="F669" s="60"/>
    </row>
    <row r="670" spans="1:6" ht="15" hidden="1" customHeight="1" outlineLevel="1" x14ac:dyDescent="0.35">
      <c r="B670" s="77" t="s">
        <v>223</v>
      </c>
      <c r="C670" s="78">
        <f>C664</f>
        <v>180</v>
      </c>
      <c r="E670" s="63" t="s">
        <v>224</v>
      </c>
    </row>
    <row r="671" spans="1:6" ht="15" hidden="1" customHeight="1" outlineLevel="1" x14ac:dyDescent="0.35">
      <c r="B671" s="77" t="s">
        <v>225</v>
      </c>
      <c r="C671" s="78">
        <f>C668</f>
        <v>-66</v>
      </c>
      <c r="E671" s="63" t="s">
        <v>226</v>
      </c>
    </row>
    <row r="672" spans="1:6" ht="15" hidden="1" customHeight="1" outlineLevel="1" x14ac:dyDescent="0.35">
      <c r="B672" s="77" t="s">
        <v>203</v>
      </c>
      <c r="C672" s="79">
        <f>C658</f>
        <v>10</v>
      </c>
      <c r="E672" s="63" t="s">
        <v>204</v>
      </c>
    </row>
    <row r="673" spans="1:7" ht="15" hidden="1" customHeight="1" outlineLevel="1" x14ac:dyDescent="0.35">
      <c r="B673" s="77" t="s">
        <v>206</v>
      </c>
      <c r="C673" s="80">
        <f>C660</f>
        <v>4280</v>
      </c>
      <c r="E673" s="63" t="s">
        <v>207</v>
      </c>
    </row>
    <row r="674" spans="1:7" collapsed="1" x14ac:dyDescent="0.35"/>
    <row r="675" spans="1:7" ht="15" customHeight="1" x14ac:dyDescent="0.35">
      <c r="A675" s="2" t="s">
        <v>602</v>
      </c>
      <c r="B675" s="2"/>
      <c r="C675" s="2"/>
      <c r="D675" s="2"/>
      <c r="E675" s="2"/>
      <c r="F675" s="2"/>
      <c r="G675" s="100">
        <v>3</v>
      </c>
    </row>
    <row r="676" spans="1:7" ht="15" hidden="1" customHeight="1" outlineLevel="1" x14ac:dyDescent="0.35">
      <c r="A676" s="60"/>
      <c r="B676" s="61" t="s">
        <v>190</v>
      </c>
      <c r="C676" s="60"/>
      <c r="D676" s="60"/>
      <c r="E676" s="60"/>
      <c r="F676" s="60"/>
    </row>
    <row r="677" spans="1:7" ht="15" hidden="1" customHeight="1" outlineLevel="1" x14ac:dyDescent="0.35">
      <c r="B677" s="7" t="s">
        <v>557</v>
      </c>
      <c r="C677" s="10">
        <v>42.8</v>
      </c>
      <c r="E677" s="63" t="s">
        <v>192</v>
      </c>
      <c r="F677" s="9" t="s">
        <v>193</v>
      </c>
    </row>
    <row r="678" spans="1:7" ht="15" hidden="1" customHeight="1" outlineLevel="1" x14ac:dyDescent="0.35">
      <c r="B678" s="7" t="s">
        <v>194</v>
      </c>
      <c r="C678" s="8">
        <v>0.05</v>
      </c>
      <c r="F678" s="9" t="s">
        <v>228</v>
      </c>
    </row>
    <row r="679" spans="1:7" ht="15" hidden="1" customHeight="1" outlineLevel="1" x14ac:dyDescent="0.35">
      <c r="B679" s="7" t="s">
        <v>603</v>
      </c>
      <c r="C679" s="70">
        <v>10000</v>
      </c>
      <c r="E679" s="63" t="s">
        <v>591</v>
      </c>
      <c r="F679" s="9" t="s">
        <v>604</v>
      </c>
    </row>
    <row r="680" spans="1:7" ht="15" hidden="1" customHeight="1" outlineLevel="1" x14ac:dyDescent="0.35">
      <c r="B680" s="7" t="s">
        <v>605</v>
      </c>
      <c r="C680" s="70">
        <v>20</v>
      </c>
      <c r="E680" s="63" t="s">
        <v>99</v>
      </c>
      <c r="F680" s="9" t="s">
        <v>606</v>
      </c>
    </row>
    <row r="681" spans="1:7" ht="15" hidden="1" customHeight="1" outlineLevel="1" x14ac:dyDescent="0.35">
      <c r="B681" s="7" t="s">
        <v>607</v>
      </c>
      <c r="C681" s="70">
        <v>5</v>
      </c>
      <c r="E681" s="63" t="s">
        <v>596</v>
      </c>
      <c r="F681" s="9" t="s">
        <v>608</v>
      </c>
    </row>
    <row r="682" spans="1:7" ht="15" hidden="1" customHeight="1" outlineLevel="1" x14ac:dyDescent="0.35">
      <c r="B682" s="7" t="s">
        <v>203</v>
      </c>
      <c r="C682" s="68">
        <v>20</v>
      </c>
      <c r="E682" s="63" t="s">
        <v>204</v>
      </c>
    </row>
    <row r="683" spans="1:7" ht="15" hidden="1" customHeight="1" outlineLevel="1" x14ac:dyDescent="0.35">
      <c r="A683" s="60"/>
      <c r="B683" s="61" t="s">
        <v>205</v>
      </c>
      <c r="C683" s="60"/>
      <c r="D683" s="60"/>
      <c r="E683" s="60"/>
      <c r="F683" s="60"/>
    </row>
    <row r="684" spans="1:7" ht="15" hidden="1" customHeight="1" outlineLevel="1" x14ac:dyDescent="0.35">
      <c r="B684" s="7" t="s">
        <v>206</v>
      </c>
      <c r="C684" s="69">
        <f>C677*C678*1000</f>
        <v>2140</v>
      </c>
      <c r="E684" s="63" t="s">
        <v>207</v>
      </c>
    </row>
    <row r="685" spans="1:7" ht="15" hidden="1" customHeight="1" outlineLevel="1" x14ac:dyDescent="0.35">
      <c r="A685" s="60"/>
      <c r="B685" s="61" t="s">
        <v>211</v>
      </c>
      <c r="C685" s="60"/>
      <c r="D685" s="60"/>
      <c r="E685" s="60"/>
      <c r="F685" s="60"/>
    </row>
    <row r="686" spans="1:7" ht="15" hidden="1" customHeight="1" outlineLevel="1" x14ac:dyDescent="0.35">
      <c r="B686" s="7" t="s">
        <v>609</v>
      </c>
      <c r="C686" s="71">
        <f>C679*C680*1000/10^6</f>
        <v>200</v>
      </c>
    </row>
    <row r="687" spans="1:7" ht="15" hidden="1" customHeight="1" outlineLevel="1" x14ac:dyDescent="0.35">
      <c r="B687" s="7" t="s">
        <v>610</v>
      </c>
      <c r="C687" s="71">
        <f>C686*0.15</f>
        <v>30</v>
      </c>
    </row>
    <row r="688" spans="1:7" ht="15" hidden="1" customHeight="1" outlineLevel="1" x14ac:dyDescent="0.35">
      <c r="A688" s="72"/>
      <c r="B688" s="73" t="s">
        <v>215</v>
      </c>
      <c r="C688" s="74">
        <f>SUM(C686:C687)</f>
        <v>230</v>
      </c>
      <c r="D688" s="72"/>
      <c r="E688" s="72"/>
      <c r="F688" s="72"/>
    </row>
    <row r="689" spans="1:7" ht="15" hidden="1" customHeight="1" outlineLevel="1" x14ac:dyDescent="0.35">
      <c r="A689" s="60"/>
      <c r="B689" s="61" t="s">
        <v>216</v>
      </c>
      <c r="C689" s="60"/>
      <c r="D689" s="60"/>
      <c r="E689" s="60"/>
      <c r="F689" s="60"/>
    </row>
    <row r="690" spans="1:7" ht="15" hidden="1" customHeight="1" outlineLevel="1" x14ac:dyDescent="0.35">
      <c r="B690" s="7" t="s">
        <v>611</v>
      </c>
      <c r="C690" s="71">
        <f>C688*0.02</f>
        <v>4.6000000000000005</v>
      </c>
    </row>
    <row r="691" spans="1:7" ht="15" hidden="1" customHeight="1" outlineLevel="1" x14ac:dyDescent="0.35">
      <c r="B691" s="7" t="s">
        <v>612</v>
      </c>
      <c r="C691" s="71">
        <f>-C679*C681*1000/10^6</f>
        <v>-50</v>
      </c>
    </row>
    <row r="692" spans="1:7" ht="15" hidden="1" customHeight="1" outlineLevel="1" x14ac:dyDescent="0.35">
      <c r="A692" s="72"/>
      <c r="B692" s="73" t="s">
        <v>221</v>
      </c>
      <c r="C692" s="74">
        <f>SUM(C690:C691)</f>
        <v>-45.4</v>
      </c>
      <c r="D692" s="72"/>
      <c r="E692" s="72"/>
      <c r="F692" s="72"/>
    </row>
    <row r="693" spans="1:7" ht="15" hidden="1" customHeight="1" outlineLevel="1" x14ac:dyDescent="0.35">
      <c r="A693" s="60"/>
      <c r="B693" s="61" t="s">
        <v>222</v>
      </c>
      <c r="C693" s="60"/>
      <c r="D693" s="60"/>
      <c r="E693" s="60"/>
      <c r="F693" s="60"/>
    </row>
    <row r="694" spans="1:7" ht="15" hidden="1" customHeight="1" outlineLevel="1" x14ac:dyDescent="0.35">
      <c r="B694" s="77" t="s">
        <v>223</v>
      </c>
      <c r="C694" s="78">
        <f>C688</f>
        <v>230</v>
      </c>
      <c r="E694" s="63" t="s">
        <v>224</v>
      </c>
    </row>
    <row r="695" spans="1:7" ht="15" hidden="1" customHeight="1" outlineLevel="1" x14ac:dyDescent="0.35">
      <c r="B695" s="77" t="s">
        <v>225</v>
      </c>
      <c r="C695" s="78">
        <f>C692</f>
        <v>-45.4</v>
      </c>
      <c r="E695" s="63" t="s">
        <v>226</v>
      </c>
    </row>
    <row r="696" spans="1:7" ht="15" hidden="1" customHeight="1" outlineLevel="1" x14ac:dyDescent="0.35">
      <c r="B696" s="77" t="s">
        <v>203</v>
      </c>
      <c r="C696" s="79">
        <f>C682</f>
        <v>20</v>
      </c>
      <c r="E696" s="63" t="s">
        <v>204</v>
      </c>
    </row>
    <row r="697" spans="1:7" ht="15" hidden="1" customHeight="1" outlineLevel="1" x14ac:dyDescent="0.35">
      <c r="B697" s="77" t="s">
        <v>206</v>
      </c>
      <c r="C697" s="80">
        <f>C684</f>
        <v>2140</v>
      </c>
      <c r="E697" s="63" t="s">
        <v>207</v>
      </c>
    </row>
    <row r="698" spans="1:7" collapsed="1" x14ac:dyDescent="0.35"/>
    <row r="699" spans="1:7" ht="15" customHeight="1" x14ac:dyDescent="0.35">
      <c r="A699" s="2" t="s">
        <v>613</v>
      </c>
      <c r="B699" s="2"/>
      <c r="C699" s="2"/>
      <c r="D699" s="2"/>
      <c r="E699" s="2"/>
      <c r="F699" s="2"/>
      <c r="G699" s="59">
        <v>1</v>
      </c>
    </row>
    <row r="700" spans="1:7" ht="15" hidden="1" customHeight="1" outlineLevel="1" x14ac:dyDescent="0.35">
      <c r="A700" s="60"/>
      <c r="B700" s="61" t="s">
        <v>190</v>
      </c>
      <c r="C700" s="60"/>
      <c r="D700" s="60"/>
      <c r="E700" s="60"/>
      <c r="F700" s="60"/>
    </row>
    <row r="701" spans="1:7" ht="15" hidden="1" customHeight="1" outlineLevel="1" x14ac:dyDescent="0.35">
      <c r="B701" s="7" t="s">
        <v>614</v>
      </c>
      <c r="C701" s="10">
        <f>Выбросы!C28</f>
        <v>3.6</v>
      </c>
      <c r="E701" s="63" t="s">
        <v>192</v>
      </c>
      <c r="F701" s="9" t="s">
        <v>193</v>
      </c>
    </row>
    <row r="702" spans="1:7" ht="15" hidden="1" customHeight="1" outlineLevel="1" x14ac:dyDescent="0.35">
      <c r="B702" s="7" t="s">
        <v>194</v>
      </c>
      <c r="C702" s="8">
        <v>0.1</v>
      </c>
      <c r="F702" s="9" t="s">
        <v>228</v>
      </c>
    </row>
    <row r="703" spans="1:7" ht="15" hidden="1" customHeight="1" outlineLevel="1" x14ac:dyDescent="0.35">
      <c r="B703" s="7" t="s">
        <v>615</v>
      </c>
      <c r="C703" s="70">
        <v>20</v>
      </c>
      <c r="E703" s="63" t="s">
        <v>478</v>
      </c>
      <c r="F703" s="9" t="s">
        <v>616</v>
      </c>
    </row>
    <row r="704" spans="1:7" ht="15" hidden="1" customHeight="1" outlineLevel="1" x14ac:dyDescent="0.35">
      <c r="B704" s="7" t="s">
        <v>617</v>
      </c>
      <c r="C704" s="70">
        <v>5</v>
      </c>
      <c r="E704" s="63" t="s">
        <v>618</v>
      </c>
    </row>
    <row r="705" spans="1:6" ht="15" hidden="1" customHeight="1" outlineLevel="1" x14ac:dyDescent="0.35">
      <c r="B705" s="7" t="s">
        <v>501</v>
      </c>
      <c r="C705" s="95">
        <f>C712*C706*10^-6</f>
        <v>10.011428571428574</v>
      </c>
      <c r="E705" s="63" t="s">
        <v>619</v>
      </c>
      <c r="F705" s="9" t="s">
        <v>620</v>
      </c>
    </row>
    <row r="706" spans="1:6" ht="15" hidden="1" customHeight="1" outlineLevel="1" x14ac:dyDescent="0.35">
      <c r="B706" s="7" t="s">
        <v>621</v>
      </c>
      <c r="C706" s="65">
        <f>MACC!$E$38</f>
        <v>50</v>
      </c>
      <c r="E706" s="63" t="s">
        <v>59</v>
      </c>
      <c r="F706" s="9"/>
    </row>
    <row r="707" spans="1:6" ht="15" hidden="1" customHeight="1" outlineLevel="1" x14ac:dyDescent="0.35">
      <c r="B707" s="7" t="s">
        <v>622</v>
      </c>
      <c r="C707" s="70">
        <v>1400</v>
      </c>
      <c r="E707" s="63" t="s">
        <v>72</v>
      </c>
      <c r="F707" s="9"/>
    </row>
    <row r="708" spans="1:6" ht="15" hidden="1" customHeight="1" outlineLevel="1" x14ac:dyDescent="0.35">
      <c r="B708" s="7" t="s">
        <v>623</v>
      </c>
      <c r="C708" s="95">
        <f>C715*10^3/C707</f>
        <v>28.571428571428573</v>
      </c>
      <c r="E708" s="63" t="s">
        <v>209</v>
      </c>
      <c r="F708" s="9"/>
    </row>
    <row r="709" spans="1:6" ht="15" hidden="1" customHeight="1" outlineLevel="1" x14ac:dyDescent="0.35">
      <c r="B709" s="7" t="s">
        <v>203</v>
      </c>
      <c r="C709" s="68">
        <v>20</v>
      </c>
      <c r="E709" s="63" t="s">
        <v>204</v>
      </c>
    </row>
    <row r="710" spans="1:6" ht="15" hidden="1" customHeight="1" outlineLevel="1" x14ac:dyDescent="0.35">
      <c r="A710" s="60"/>
      <c r="B710" s="61" t="s">
        <v>205</v>
      </c>
      <c r="C710" s="60"/>
      <c r="D710" s="60"/>
      <c r="E710" s="60"/>
      <c r="F710" s="60"/>
    </row>
    <row r="711" spans="1:6" ht="15" hidden="1" customHeight="1" outlineLevel="1" x14ac:dyDescent="0.35">
      <c r="B711" s="7" t="s">
        <v>206</v>
      </c>
      <c r="C711" s="69">
        <f>C701*C702*1000</f>
        <v>360.00000000000006</v>
      </c>
      <c r="E711" s="63" t="s">
        <v>207</v>
      </c>
    </row>
    <row r="712" spans="1:6" ht="15" hidden="1" customHeight="1" outlineLevel="1" x14ac:dyDescent="0.35">
      <c r="B712" s="7" t="s">
        <v>624</v>
      </c>
      <c r="C712" s="69">
        <f>C708*0.8*8760</f>
        <v>200228.57142857148</v>
      </c>
      <c r="E712" s="63" t="s">
        <v>625</v>
      </c>
    </row>
    <row r="713" spans="1:6" ht="15" hidden="1" customHeight="1" outlineLevel="1" x14ac:dyDescent="0.35">
      <c r="A713" s="60"/>
      <c r="B713" s="61" t="s">
        <v>211</v>
      </c>
      <c r="C713" s="60"/>
      <c r="D713" s="60"/>
      <c r="E713" s="60"/>
      <c r="F713" s="60"/>
    </row>
    <row r="714" spans="1:6" ht="15" hidden="1" customHeight="1" outlineLevel="1" x14ac:dyDescent="0.35">
      <c r="B714" s="7" t="s">
        <v>626</v>
      </c>
      <c r="C714" s="71">
        <f>C703*C704</f>
        <v>100</v>
      </c>
    </row>
    <row r="715" spans="1:6" ht="15" hidden="1" customHeight="1" outlineLevel="1" x14ac:dyDescent="0.35">
      <c r="B715" s="7" t="s">
        <v>627</v>
      </c>
      <c r="C715" s="71">
        <f>C714*0.4</f>
        <v>40</v>
      </c>
    </row>
    <row r="716" spans="1:6" ht="15" hidden="1" customHeight="1" outlineLevel="1" x14ac:dyDescent="0.35">
      <c r="A716" s="72"/>
      <c r="B716" s="73" t="s">
        <v>215</v>
      </c>
      <c r="C716" s="74">
        <f>SUM(C714:C715)</f>
        <v>140</v>
      </c>
      <c r="D716" s="72"/>
      <c r="E716" s="72"/>
      <c r="F716" s="72"/>
    </row>
    <row r="717" spans="1:6" ht="15" hidden="1" customHeight="1" outlineLevel="1" x14ac:dyDescent="0.35">
      <c r="A717" s="60"/>
      <c r="B717" s="61" t="s">
        <v>216</v>
      </c>
      <c r="C717" s="60"/>
      <c r="D717" s="60"/>
      <c r="E717" s="60"/>
      <c r="F717" s="60"/>
    </row>
    <row r="718" spans="1:6" ht="15" hidden="1" customHeight="1" outlineLevel="1" x14ac:dyDescent="0.35">
      <c r="B718" s="7" t="s">
        <v>217</v>
      </c>
      <c r="C718" s="71">
        <f>C716*0.04</f>
        <v>5.6000000000000005</v>
      </c>
    </row>
    <row r="719" spans="1:6" ht="15" hidden="1" customHeight="1" outlineLevel="1" x14ac:dyDescent="0.35">
      <c r="B719" s="7" t="s">
        <v>506</v>
      </c>
      <c r="C719" s="71">
        <f>-C705</f>
        <v>-10.011428571428574</v>
      </c>
    </row>
    <row r="720" spans="1:6" ht="15" hidden="1" customHeight="1" outlineLevel="1" x14ac:dyDescent="0.35">
      <c r="A720" s="72"/>
      <c r="B720" s="73" t="s">
        <v>221</v>
      </c>
      <c r="C720" s="74">
        <f>SUM(C718:C719)</f>
        <v>-4.4114285714285737</v>
      </c>
      <c r="D720" s="72"/>
      <c r="E720" s="72"/>
      <c r="F720" s="72"/>
    </row>
    <row r="721" spans="1:7" ht="15" hidden="1" customHeight="1" outlineLevel="1" x14ac:dyDescent="0.35">
      <c r="A721" s="60"/>
      <c r="B721" s="61" t="s">
        <v>222</v>
      </c>
      <c r="C721" s="60"/>
      <c r="D721" s="60"/>
      <c r="E721" s="60"/>
      <c r="F721" s="60"/>
    </row>
    <row r="722" spans="1:7" ht="15" hidden="1" customHeight="1" outlineLevel="1" x14ac:dyDescent="0.35">
      <c r="B722" s="77" t="s">
        <v>223</v>
      </c>
      <c r="C722" s="78">
        <f>C716</f>
        <v>140</v>
      </c>
      <c r="E722" s="63" t="s">
        <v>224</v>
      </c>
    </row>
    <row r="723" spans="1:7" ht="15" hidden="1" customHeight="1" outlineLevel="1" x14ac:dyDescent="0.35">
      <c r="B723" s="77" t="s">
        <v>225</v>
      </c>
      <c r="C723" s="78">
        <f>C720</f>
        <v>-4.4114285714285737</v>
      </c>
      <c r="E723" s="63" t="s">
        <v>226</v>
      </c>
    </row>
    <row r="724" spans="1:7" ht="15" hidden="1" customHeight="1" outlineLevel="1" x14ac:dyDescent="0.35">
      <c r="B724" s="77" t="s">
        <v>203</v>
      </c>
      <c r="C724" s="79">
        <f>C709</f>
        <v>20</v>
      </c>
      <c r="E724" s="63" t="s">
        <v>204</v>
      </c>
    </row>
    <row r="725" spans="1:7" ht="15" hidden="1" customHeight="1" outlineLevel="1" x14ac:dyDescent="0.35">
      <c r="B725" s="77" t="s">
        <v>206</v>
      </c>
      <c r="C725" s="80">
        <f>C711</f>
        <v>360.00000000000006</v>
      </c>
      <c r="E725" s="63" t="s">
        <v>207</v>
      </c>
    </row>
    <row r="726" spans="1:7" collapsed="1" x14ac:dyDescent="0.35"/>
    <row r="727" spans="1:7" ht="15" customHeight="1" x14ac:dyDescent="0.35">
      <c r="A727" s="2" t="s">
        <v>628</v>
      </c>
      <c r="B727" s="2"/>
      <c r="C727" s="2"/>
      <c r="D727" s="2"/>
      <c r="E727" s="2"/>
      <c r="F727" s="2"/>
      <c r="G727" s="98">
        <v>2</v>
      </c>
    </row>
    <row r="728" spans="1:7" ht="15" hidden="1" customHeight="1" outlineLevel="1" x14ac:dyDescent="0.35">
      <c r="A728" s="60"/>
      <c r="B728" s="61" t="s">
        <v>190</v>
      </c>
      <c r="C728" s="60"/>
      <c r="D728" s="60"/>
      <c r="E728" s="60"/>
      <c r="F728" s="60"/>
    </row>
    <row r="729" spans="1:7" ht="15" hidden="1" customHeight="1" outlineLevel="1" x14ac:dyDescent="0.35">
      <c r="B729" s="7" t="s">
        <v>614</v>
      </c>
      <c r="C729" s="62">
        <f>Выбросы!C29</f>
        <v>3.2</v>
      </c>
      <c r="E729" s="63" t="s">
        <v>192</v>
      </c>
      <c r="F729" s="9" t="s">
        <v>193</v>
      </c>
    </row>
    <row r="730" spans="1:7" ht="15" hidden="1" customHeight="1" outlineLevel="1" x14ac:dyDescent="0.35">
      <c r="B730" s="7" t="s">
        <v>194</v>
      </c>
      <c r="C730" s="8">
        <v>0.1</v>
      </c>
      <c r="F730" s="9" t="s">
        <v>228</v>
      </c>
    </row>
    <row r="731" spans="1:7" ht="15" hidden="1" customHeight="1" outlineLevel="1" x14ac:dyDescent="0.35">
      <c r="B731" s="7" t="s">
        <v>629</v>
      </c>
      <c r="C731" s="70">
        <v>15</v>
      </c>
      <c r="E731" s="63" t="s">
        <v>478</v>
      </c>
      <c r="F731" s="9" t="s">
        <v>616</v>
      </c>
    </row>
    <row r="732" spans="1:7" ht="15" hidden="1" customHeight="1" outlineLevel="1" x14ac:dyDescent="0.35">
      <c r="B732" s="7" t="s">
        <v>198</v>
      </c>
      <c r="C732" s="70">
        <v>10</v>
      </c>
      <c r="E732" s="63" t="s">
        <v>630</v>
      </c>
      <c r="F732" s="9" t="s">
        <v>631</v>
      </c>
    </row>
    <row r="733" spans="1:7" ht="15" hidden="1" customHeight="1" outlineLevel="1" x14ac:dyDescent="0.35">
      <c r="B733" s="7" t="s">
        <v>632</v>
      </c>
      <c r="C733" s="70">
        <v>1</v>
      </c>
      <c r="E733" s="63" t="s">
        <v>633</v>
      </c>
    </row>
    <row r="734" spans="1:7" ht="15" hidden="1" customHeight="1" outlineLevel="1" x14ac:dyDescent="0.35">
      <c r="B734" s="7" t="s">
        <v>203</v>
      </c>
      <c r="C734" s="68">
        <v>25</v>
      </c>
      <c r="E734" s="63" t="s">
        <v>204</v>
      </c>
    </row>
    <row r="735" spans="1:7" ht="15" hidden="1" customHeight="1" outlineLevel="1" x14ac:dyDescent="0.35">
      <c r="A735" s="60"/>
      <c r="B735" s="61" t="s">
        <v>205</v>
      </c>
      <c r="C735" s="60"/>
      <c r="D735" s="60"/>
      <c r="E735" s="60"/>
      <c r="F735" s="60"/>
    </row>
    <row r="736" spans="1:7" ht="15" hidden="1" customHeight="1" outlineLevel="1" x14ac:dyDescent="0.35">
      <c r="B736" s="7" t="s">
        <v>206</v>
      </c>
      <c r="C736" s="69">
        <f>C729*C730*1000</f>
        <v>320.00000000000006</v>
      </c>
      <c r="E736" s="63" t="s">
        <v>207</v>
      </c>
    </row>
    <row r="737" spans="1:7" ht="15" hidden="1" customHeight="1" outlineLevel="1" x14ac:dyDescent="0.35">
      <c r="A737" s="60"/>
      <c r="B737" s="61" t="s">
        <v>211</v>
      </c>
      <c r="C737" s="60"/>
      <c r="D737" s="60"/>
      <c r="E737" s="60"/>
      <c r="F737" s="60"/>
    </row>
    <row r="738" spans="1:7" ht="15" hidden="1" customHeight="1" outlineLevel="1" x14ac:dyDescent="0.35">
      <c r="B738" s="7" t="s">
        <v>634</v>
      </c>
      <c r="C738" s="71">
        <f>C731*C732</f>
        <v>150</v>
      </c>
    </row>
    <row r="739" spans="1:7" ht="15" hidden="1" customHeight="1" outlineLevel="1" x14ac:dyDescent="0.35">
      <c r="A739" s="72"/>
      <c r="B739" s="73" t="s">
        <v>215</v>
      </c>
      <c r="C739" s="74">
        <f>SUM(C738:C738)</f>
        <v>150</v>
      </c>
      <c r="D739" s="72"/>
      <c r="E739" s="72"/>
      <c r="F739" s="72"/>
    </row>
    <row r="740" spans="1:7" ht="15" hidden="1" customHeight="1" outlineLevel="1" x14ac:dyDescent="0.35">
      <c r="A740" s="60"/>
      <c r="B740" s="61" t="s">
        <v>216</v>
      </c>
      <c r="C740" s="60"/>
      <c r="D740" s="60"/>
      <c r="E740" s="60"/>
      <c r="F740" s="60"/>
    </row>
    <row r="741" spans="1:7" ht="15" hidden="1" customHeight="1" outlineLevel="1" x14ac:dyDescent="0.35">
      <c r="B741" s="7" t="s">
        <v>217</v>
      </c>
      <c r="C741" s="71">
        <f>C739*0.03</f>
        <v>4.5</v>
      </c>
    </row>
    <row r="742" spans="1:7" ht="15" hidden="1" customHeight="1" outlineLevel="1" x14ac:dyDescent="0.35">
      <c r="B742" s="7" t="s">
        <v>635</v>
      </c>
      <c r="C742" s="71">
        <f>-C731*C733</f>
        <v>-15</v>
      </c>
    </row>
    <row r="743" spans="1:7" ht="15" hidden="1" customHeight="1" outlineLevel="1" x14ac:dyDescent="0.35">
      <c r="A743" s="72"/>
      <c r="B743" s="73" t="s">
        <v>221</v>
      </c>
      <c r="C743" s="74">
        <f>SUM(C741:C742)</f>
        <v>-10.5</v>
      </c>
      <c r="D743" s="72"/>
      <c r="E743" s="72"/>
      <c r="F743" s="72"/>
    </row>
    <row r="744" spans="1:7" ht="15" hidden="1" customHeight="1" outlineLevel="1" x14ac:dyDescent="0.35">
      <c r="A744" s="60"/>
      <c r="B744" s="61" t="s">
        <v>222</v>
      </c>
      <c r="C744" s="60"/>
      <c r="D744" s="60"/>
      <c r="E744" s="60"/>
      <c r="F744" s="60"/>
    </row>
    <row r="745" spans="1:7" ht="15" hidden="1" customHeight="1" outlineLevel="1" x14ac:dyDescent="0.35">
      <c r="B745" s="77" t="s">
        <v>223</v>
      </c>
      <c r="C745" s="78">
        <f>C739</f>
        <v>150</v>
      </c>
      <c r="E745" s="63" t="s">
        <v>224</v>
      </c>
    </row>
    <row r="746" spans="1:7" ht="15" hidden="1" customHeight="1" outlineLevel="1" x14ac:dyDescent="0.35">
      <c r="B746" s="77" t="s">
        <v>225</v>
      </c>
      <c r="C746" s="78">
        <f>C743</f>
        <v>-10.5</v>
      </c>
      <c r="E746" s="63" t="s">
        <v>226</v>
      </c>
    </row>
    <row r="747" spans="1:7" ht="15" hidden="1" customHeight="1" outlineLevel="1" x14ac:dyDescent="0.35">
      <c r="B747" s="77" t="s">
        <v>203</v>
      </c>
      <c r="C747" s="79">
        <f>C734</f>
        <v>25</v>
      </c>
      <c r="E747" s="63" t="s">
        <v>204</v>
      </c>
    </row>
    <row r="748" spans="1:7" ht="15" hidden="1" customHeight="1" outlineLevel="1" x14ac:dyDescent="0.35">
      <c r="B748" s="77" t="s">
        <v>206</v>
      </c>
      <c r="C748" s="80">
        <f>C736</f>
        <v>320.00000000000006</v>
      </c>
      <c r="E748" s="63" t="s">
        <v>207</v>
      </c>
    </row>
    <row r="749" spans="1:7" collapsed="1" x14ac:dyDescent="0.35"/>
    <row r="750" spans="1:7" x14ac:dyDescent="0.35">
      <c r="A750" s="1" t="s">
        <v>636</v>
      </c>
      <c r="B750" s="1"/>
      <c r="C750" s="1"/>
      <c r="D750" s="1"/>
      <c r="E750" s="1"/>
      <c r="F750" s="1"/>
      <c r="G750" s="59">
        <v>1</v>
      </c>
    </row>
    <row r="751" spans="1:7" hidden="1" outlineLevel="1" x14ac:dyDescent="0.35">
      <c r="A751" s="60"/>
      <c r="B751" s="35" t="s">
        <v>190</v>
      </c>
      <c r="C751" s="60"/>
      <c r="D751" s="60"/>
      <c r="E751" s="60"/>
      <c r="F751" s="60"/>
    </row>
    <row r="752" spans="1:7" hidden="1" outlineLevel="1" x14ac:dyDescent="0.35">
      <c r="B752" s="16" t="s">
        <v>637</v>
      </c>
      <c r="C752" s="101">
        <f>Выбросы!C26</f>
        <v>4.13</v>
      </c>
      <c r="E752" s="102" t="s">
        <v>192</v>
      </c>
      <c r="F752" s="25" t="s">
        <v>638</v>
      </c>
    </row>
    <row r="753" spans="1:6" hidden="1" outlineLevel="1" x14ac:dyDescent="0.35">
      <c r="B753" s="16" t="s">
        <v>639</v>
      </c>
      <c r="C753" s="103">
        <v>1000</v>
      </c>
      <c r="E753" s="102" t="s">
        <v>591</v>
      </c>
      <c r="F753" s="25" t="s">
        <v>640</v>
      </c>
    </row>
    <row r="754" spans="1:6" hidden="1" outlineLevel="1" x14ac:dyDescent="0.35">
      <c r="B754" s="16" t="s">
        <v>641</v>
      </c>
      <c r="C754" s="104">
        <v>0.7</v>
      </c>
      <c r="F754" s="25" t="s">
        <v>642</v>
      </c>
    </row>
    <row r="755" spans="1:6" hidden="1" outlineLevel="1" x14ac:dyDescent="0.35">
      <c r="B755" s="16" t="s">
        <v>643</v>
      </c>
      <c r="C755" s="105">
        <v>3</v>
      </c>
      <c r="E755" s="102" t="s">
        <v>644</v>
      </c>
      <c r="F755" s="25" t="s">
        <v>645</v>
      </c>
    </row>
    <row r="756" spans="1:6" hidden="1" outlineLevel="1" x14ac:dyDescent="0.35">
      <c r="B756" s="16" t="s">
        <v>646</v>
      </c>
      <c r="C756" s="65">
        <f>MACC!$E$57</f>
        <v>2000</v>
      </c>
      <c r="E756" s="102" t="s">
        <v>99</v>
      </c>
      <c r="F756" s="25" t="s">
        <v>664</v>
      </c>
    </row>
    <row r="757" spans="1:6" hidden="1" outlineLevel="1" x14ac:dyDescent="0.35">
      <c r="B757" s="16"/>
      <c r="C757" s="103"/>
      <c r="E757" s="102"/>
      <c r="F757" s="25"/>
    </row>
    <row r="758" spans="1:6" hidden="1" outlineLevel="1" x14ac:dyDescent="0.35">
      <c r="B758" s="16" t="s">
        <v>647</v>
      </c>
      <c r="C758" s="103">
        <v>100</v>
      </c>
      <c r="E758" s="102" t="s">
        <v>596</v>
      </c>
      <c r="F758" s="25" t="s">
        <v>648</v>
      </c>
    </row>
    <row r="759" spans="1:6" hidden="1" outlineLevel="1" x14ac:dyDescent="0.35">
      <c r="B759" s="16" t="s">
        <v>649</v>
      </c>
      <c r="C759" s="106">
        <v>30</v>
      </c>
      <c r="E759" s="102" t="s">
        <v>204</v>
      </c>
      <c r="F759" s="25" t="s">
        <v>650</v>
      </c>
    </row>
    <row r="760" spans="1:6" hidden="1" outlineLevel="1" x14ac:dyDescent="0.35">
      <c r="A760" s="60"/>
      <c r="B760" s="35" t="s">
        <v>651</v>
      </c>
      <c r="C760" s="60"/>
      <c r="D760" s="60"/>
      <c r="E760" s="60"/>
      <c r="F760" s="60"/>
    </row>
    <row r="761" spans="1:6" hidden="1" outlineLevel="1" x14ac:dyDescent="0.35">
      <c r="B761" s="16" t="s">
        <v>652</v>
      </c>
      <c r="C761" s="107">
        <f>C753*C754</f>
        <v>700</v>
      </c>
      <c r="E761" s="102" t="s">
        <v>591</v>
      </c>
    </row>
    <row r="762" spans="1:6" hidden="1" outlineLevel="1" x14ac:dyDescent="0.35">
      <c r="B762" s="16" t="s">
        <v>653</v>
      </c>
      <c r="C762" s="107">
        <f>C761*C755</f>
        <v>2100</v>
      </c>
      <c r="E762" s="102" t="s">
        <v>654</v>
      </c>
      <c r="F762" s="25" t="s">
        <v>655</v>
      </c>
    </row>
    <row r="763" spans="1:6" hidden="1" outlineLevel="1" x14ac:dyDescent="0.35">
      <c r="A763" s="60"/>
      <c r="B763" s="35" t="s">
        <v>211</v>
      </c>
      <c r="C763" s="60"/>
      <c r="D763" s="60"/>
      <c r="E763" s="60"/>
      <c r="F763" s="60"/>
    </row>
    <row r="764" spans="1:6" hidden="1" outlineLevel="1" x14ac:dyDescent="0.35">
      <c r="B764" s="16" t="s">
        <v>656</v>
      </c>
      <c r="C764" s="108">
        <f>C753*C756/10^3</f>
        <v>2000</v>
      </c>
    </row>
    <row r="765" spans="1:6" hidden="1" outlineLevel="1" x14ac:dyDescent="0.35">
      <c r="B765" s="16"/>
      <c r="C765" s="108"/>
    </row>
    <row r="766" spans="1:6" hidden="1" outlineLevel="1" x14ac:dyDescent="0.35">
      <c r="B766" s="16" t="s">
        <v>657</v>
      </c>
      <c r="C766" s="108">
        <f>(C764+C765)*0.1</f>
        <v>200</v>
      </c>
      <c r="F766" s="25" t="s">
        <v>658</v>
      </c>
    </row>
    <row r="767" spans="1:6" ht="15" hidden="1" customHeight="1" outlineLevel="1" x14ac:dyDescent="0.35">
      <c r="A767" s="72"/>
      <c r="B767" s="109" t="s">
        <v>215</v>
      </c>
      <c r="C767" s="110">
        <f>SUM(C764:C766)</f>
        <v>2200</v>
      </c>
      <c r="D767" s="72"/>
      <c r="E767" s="72"/>
      <c r="F767" s="72"/>
    </row>
    <row r="768" spans="1:6" hidden="1" outlineLevel="1" x14ac:dyDescent="0.35">
      <c r="A768" s="60"/>
      <c r="B768" s="35" t="s">
        <v>659</v>
      </c>
      <c r="C768" s="60"/>
      <c r="D768" s="60"/>
      <c r="E768" s="60"/>
      <c r="F768" s="60"/>
    </row>
    <row r="769" spans="1:6" hidden="1" outlineLevel="1" x14ac:dyDescent="0.35">
      <c r="B769" s="16" t="s">
        <v>660</v>
      </c>
      <c r="C769" s="108">
        <f>C753*C758/10^3</f>
        <v>100</v>
      </c>
    </row>
    <row r="770" spans="1:6" hidden="1" outlineLevel="1" x14ac:dyDescent="0.35">
      <c r="B770" s="16" t="s">
        <v>661</v>
      </c>
      <c r="C770" s="108">
        <f>C767*0.005</f>
        <v>11</v>
      </c>
      <c r="F770" s="25" t="s">
        <v>662</v>
      </c>
    </row>
    <row r="771" spans="1:6" ht="15" hidden="1" customHeight="1" outlineLevel="1" x14ac:dyDescent="0.35">
      <c r="A771" s="72"/>
      <c r="B771" s="109" t="s">
        <v>221</v>
      </c>
      <c r="C771" s="110">
        <f>SUM(C769:C770)</f>
        <v>111</v>
      </c>
      <c r="D771" s="72"/>
      <c r="E771" s="72"/>
      <c r="F771" s="72"/>
    </row>
    <row r="772" spans="1:6" hidden="1" outlineLevel="1" x14ac:dyDescent="0.35">
      <c r="A772" s="60"/>
      <c r="B772" s="35" t="s">
        <v>222</v>
      </c>
      <c r="C772" s="60"/>
      <c r="D772" s="60"/>
      <c r="E772" s="60"/>
      <c r="F772" s="60"/>
    </row>
    <row r="773" spans="1:6" hidden="1" outlineLevel="1" x14ac:dyDescent="0.35">
      <c r="B773" s="111" t="s">
        <v>223</v>
      </c>
      <c r="C773" s="112">
        <f>C767</f>
        <v>2200</v>
      </c>
      <c r="E773" s="102" t="s">
        <v>224</v>
      </c>
    </row>
    <row r="774" spans="1:6" hidden="1" outlineLevel="1" x14ac:dyDescent="0.35">
      <c r="B774" s="111" t="s">
        <v>225</v>
      </c>
      <c r="C774" s="112">
        <f>C771</f>
        <v>111</v>
      </c>
      <c r="E774" s="102" t="s">
        <v>226</v>
      </c>
    </row>
    <row r="775" spans="1:6" hidden="1" outlineLevel="1" x14ac:dyDescent="0.35">
      <c r="B775" s="111" t="s">
        <v>203</v>
      </c>
      <c r="C775" s="113">
        <f>C759</f>
        <v>30</v>
      </c>
      <c r="E775" s="102" t="s">
        <v>204</v>
      </c>
    </row>
    <row r="776" spans="1:6" hidden="1" outlineLevel="1" x14ac:dyDescent="0.35">
      <c r="B776" s="111" t="s">
        <v>663</v>
      </c>
      <c r="C776" s="114">
        <f>C762</f>
        <v>2100</v>
      </c>
      <c r="E776" s="102" t="s">
        <v>654</v>
      </c>
    </row>
    <row r="777" spans="1:6" collapsed="1" x14ac:dyDescent="0.35"/>
  </sheetData>
  <mergeCells count="26">
    <mergeCell ref="A750:F750"/>
    <mergeCell ref="A627:F627"/>
    <mergeCell ref="A651:F651"/>
    <mergeCell ref="A675:F675"/>
    <mergeCell ref="A699:F699"/>
    <mergeCell ref="A727:F727"/>
    <mergeCell ref="A499:F499"/>
    <mergeCell ref="A523:F523"/>
    <mergeCell ref="A549:F549"/>
    <mergeCell ref="A574:F574"/>
    <mergeCell ref="A598:F598"/>
    <mergeCell ref="A340:F340"/>
    <mergeCell ref="A378:F378"/>
    <mergeCell ref="A409:F409"/>
    <mergeCell ref="A448:F448"/>
    <mergeCell ref="A474:F474"/>
    <mergeCell ref="A177:F177"/>
    <mergeCell ref="A207:F207"/>
    <mergeCell ref="A245:F245"/>
    <mergeCell ref="A282:F282"/>
    <mergeCell ref="A307:F307"/>
    <mergeCell ref="A2:F2"/>
    <mergeCell ref="A29:F29"/>
    <mergeCell ref="A59:F59"/>
    <mergeCell ref="A90:F90"/>
    <mergeCell ref="A135:F1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MACC</vt:lpstr>
      <vt:lpstr>Выбросы</vt:lpstr>
      <vt:lpstr>Расчёты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Nikolai Posypanko</cp:lastModifiedBy>
  <cp:revision>0</cp:revision>
  <dcterms:created xsi:type="dcterms:W3CDTF">2026-05-07T11:55:47Z</dcterms:created>
  <dcterms:modified xsi:type="dcterms:W3CDTF">2026-05-29T10:27:33Z</dcterms:modified>
  <dc:language>en-US</dc:language>
</cp:coreProperties>
</file>